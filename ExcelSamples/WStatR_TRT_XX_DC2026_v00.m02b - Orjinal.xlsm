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9.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U:\Environment\10-Project_Teams\WASTE\01_Production_system\WStatR\Launching\DC2026\CIRCABC\"/>
    </mc:Choice>
  </mc:AlternateContent>
  <xr:revisionPtr revIDLastSave="0" documentId="13_ncr:1_{CF41F645-DAC1-4F7F-B554-7976605C6CF3}" xr6:coauthVersionLast="47" xr6:coauthVersionMax="47" xr10:uidLastSave="{00000000-0000-0000-0000-000000000000}"/>
  <bookViews>
    <workbookView xWindow="-110" yWindow="-110" windowWidth="19420" windowHeight="11500" xr2:uid="{00000000-000D-0000-FFFF-FFFF00000000}"/>
  </bookViews>
  <sheets>
    <sheet name="COVER" sheetId="22" r:id="rId1"/>
    <sheet name="INDEX" sheetId="23" r:id="rId2"/>
    <sheet name="Basic Instructions" sheetId="24" r:id="rId3"/>
    <sheet name="Methodology" sheetId="25" r:id="rId4"/>
    <sheet name="Validation rules" sheetId="26" r:id="rId5"/>
    <sheet name="GETTING STARTED" sheetId="27" r:id="rId6"/>
    <sheet name="Footnotes list" sheetId="28" r:id="rId7"/>
    <sheet name="Table_1" sheetId="2" r:id="rId8"/>
    <sheet name="ErrorLog" sheetId="20" r:id="rId9"/>
    <sheet name="Table_1 (COPY-PASTING)" sheetId="34" r:id="rId10"/>
    <sheet name="StandardFootnotes" sheetId="35" state="hidden" r:id="rId11"/>
    <sheet name="Lists" sheetId="3" state="hidden" r:id="rId12"/>
    <sheet name="Changelog" sheetId="30" state="hidden" r:id="rId13"/>
    <sheet name="Pre-filling parameters" sheetId="29" state="hidden" r:id="rId14"/>
    <sheet name="MacroBehaviour" sheetId="31" state="hidden" r:id="rId15"/>
    <sheet name="Locks" sheetId="14" state="hidden" r:id="rId16"/>
    <sheet name="Summations" sheetId="15" state="hidden" r:id="rId17"/>
    <sheet name="Mandatory" sheetId="10" state="hidden" r:id="rId18"/>
    <sheet name="x IsFormula" sheetId="18" state="hidden" r:id="rId19"/>
    <sheet name="MustNotBeNegative" sheetId="19" state="hidden" r:id="rId20"/>
    <sheet name="ForbiddenStrings" sheetId="32" state="hidden" r:id="rId21"/>
    <sheet name="FootnoteContent" sheetId="12" state="hidden" r:id="rId22"/>
    <sheet name="IsNumeric" sheetId="21" state="hidden" r:id="rId23"/>
    <sheet name="Table_1 (COPY)" sheetId="33" state="hidden" r:id="rId24"/>
  </sheets>
  <functionGroups builtInGroupCount="19"/>
  <definedNames>
    <definedName name="_2._Legal_acts" localSheetId="10">#REF!</definedName>
    <definedName name="_2._Legal_acts">#REF!</definedName>
    <definedName name="_3._Data_reporting___questionnaire" localSheetId="10">#REF!</definedName>
    <definedName name="_3._Data_reporting___questionnaire">#REF!</definedName>
    <definedName name="_xlnm._FilterDatabase" localSheetId="8" hidden="1">ErrorLog!$B$1:$F$771</definedName>
    <definedName name="_xlnm._FilterDatabase" localSheetId="6" hidden="1">'Footnotes list'!$B$2:$E$58</definedName>
    <definedName name="NameSelectedCountryCode" localSheetId="10">#REF!</definedName>
    <definedName name="NameSelectedCountryCode">#REF!</definedName>
    <definedName name="NameSelectedCountryName" localSheetId="10">#REF!</definedName>
    <definedName name="NameSelectedCountryNam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Y118" i="34" l="1"/>
  <c r="AT118" i="34"/>
  <c r="AO118" i="34"/>
  <c r="AJ118" i="34"/>
  <c r="AE118" i="34"/>
  <c r="Z118" i="34"/>
  <c r="U118" i="34"/>
  <c r="P118" i="34"/>
  <c r="K118" i="34"/>
  <c r="AY117" i="34"/>
  <c r="AT117" i="34"/>
  <c r="AO117" i="34"/>
  <c r="AK117" i="34"/>
  <c r="AJ117" i="34"/>
  <c r="AF117" i="34"/>
  <c r="AE117" i="34"/>
  <c r="Z117" i="34"/>
  <c r="V117" i="34"/>
  <c r="U117" i="34"/>
  <c r="Q117" i="34"/>
  <c r="P117" i="34"/>
  <c r="L117" i="34"/>
  <c r="K117" i="34"/>
  <c r="G117" i="34"/>
  <c r="AY116" i="34"/>
  <c r="AT116" i="34"/>
  <c r="AO116" i="34"/>
  <c r="AK116" i="34"/>
  <c r="AJ116" i="34"/>
  <c r="AF116" i="34"/>
  <c r="AE116" i="34"/>
  <c r="Z116" i="34"/>
  <c r="V116" i="34"/>
  <c r="U116" i="34"/>
  <c r="Q116" i="34"/>
  <c r="P116" i="34"/>
  <c r="L116" i="34"/>
  <c r="K116" i="34"/>
  <c r="G116" i="34"/>
  <c r="AY115" i="34"/>
  <c r="AT115" i="34"/>
  <c r="AO115" i="34"/>
  <c r="AJ115" i="34"/>
  <c r="AE115" i="34"/>
  <c r="Z115" i="34"/>
  <c r="U115" i="34"/>
  <c r="P115" i="34"/>
  <c r="K115" i="34"/>
  <c r="AY114" i="34"/>
  <c r="AT114" i="34"/>
  <c r="AO114" i="34"/>
  <c r="AK114" i="34"/>
  <c r="AJ114" i="34"/>
  <c r="AF114" i="34"/>
  <c r="AE114" i="34"/>
  <c r="Z114" i="34"/>
  <c r="V114" i="34"/>
  <c r="U114" i="34"/>
  <c r="Q114" i="34"/>
  <c r="P114" i="34"/>
  <c r="L114" i="34"/>
  <c r="K114" i="34"/>
  <c r="G114" i="34"/>
  <c r="AY113" i="34"/>
  <c r="AT113" i="34"/>
  <c r="AO113" i="34"/>
  <c r="AK113" i="34"/>
  <c r="AJ113" i="34"/>
  <c r="AF113" i="34"/>
  <c r="AE113" i="34"/>
  <c r="Z113" i="34"/>
  <c r="V113" i="34"/>
  <c r="U113" i="34"/>
  <c r="Q113" i="34"/>
  <c r="P113" i="34"/>
  <c r="L113" i="34"/>
  <c r="K113" i="34"/>
  <c r="G113" i="34"/>
  <c r="AY112" i="34"/>
  <c r="AT112" i="34"/>
  <c r="AO112" i="34"/>
  <c r="AJ112" i="34"/>
  <c r="AE112" i="34"/>
  <c r="Z112" i="34"/>
  <c r="U112" i="34"/>
  <c r="P112" i="34"/>
  <c r="K112" i="34"/>
  <c r="AY111" i="34"/>
  <c r="AT111" i="34"/>
  <c r="AO111" i="34"/>
  <c r="AK111" i="34"/>
  <c r="AJ111" i="34"/>
  <c r="AF111" i="34"/>
  <c r="AE111" i="34"/>
  <c r="Z111" i="34"/>
  <c r="V111" i="34"/>
  <c r="U111" i="34"/>
  <c r="Q111" i="34"/>
  <c r="P111" i="34"/>
  <c r="L111" i="34"/>
  <c r="K111" i="34"/>
  <c r="G111" i="34"/>
  <c r="AY110" i="34"/>
  <c r="AT110" i="34"/>
  <c r="AO110" i="34"/>
  <c r="AK110" i="34"/>
  <c r="AJ110" i="34"/>
  <c r="AF110" i="34"/>
  <c r="AE110" i="34"/>
  <c r="Z110" i="34"/>
  <c r="V110" i="34"/>
  <c r="U110" i="34"/>
  <c r="Q110" i="34"/>
  <c r="P110" i="34"/>
  <c r="L110" i="34"/>
  <c r="K110" i="34"/>
  <c r="G110" i="34"/>
  <c r="AY109" i="34"/>
  <c r="AT109" i="34"/>
  <c r="AO109" i="34"/>
  <c r="AJ109" i="34"/>
  <c r="AE109" i="34"/>
  <c r="Z109" i="34"/>
  <c r="U109" i="34"/>
  <c r="P109" i="34"/>
  <c r="K109" i="34"/>
  <c r="AY108" i="34"/>
  <c r="AT108" i="34"/>
  <c r="AO108" i="34"/>
  <c r="AK108" i="34"/>
  <c r="AJ108" i="34"/>
  <c r="AF108" i="34"/>
  <c r="AE108" i="34"/>
  <c r="Z108" i="34"/>
  <c r="V108" i="34"/>
  <c r="U108" i="34"/>
  <c r="Q108" i="34"/>
  <c r="P108" i="34"/>
  <c r="L108" i="34"/>
  <c r="K108" i="34"/>
  <c r="G108" i="34"/>
  <c r="AY107" i="34"/>
  <c r="AT107" i="34"/>
  <c r="AO107" i="34"/>
  <c r="AK107" i="34"/>
  <c r="AJ107" i="34"/>
  <c r="AF107" i="34"/>
  <c r="AE107" i="34"/>
  <c r="Z107" i="34"/>
  <c r="V107" i="34"/>
  <c r="U107" i="34"/>
  <c r="Q107" i="34"/>
  <c r="P107" i="34"/>
  <c r="L107" i="34"/>
  <c r="K107" i="34"/>
  <c r="G107" i="34"/>
  <c r="AY106" i="34"/>
  <c r="AT106" i="34"/>
  <c r="AO106" i="34"/>
  <c r="AK106" i="34"/>
  <c r="AJ106" i="34"/>
  <c r="AF106" i="34"/>
  <c r="AE106" i="34"/>
  <c r="Z106" i="34"/>
  <c r="V106" i="34"/>
  <c r="U106" i="34"/>
  <c r="Q106" i="34"/>
  <c r="P106" i="34"/>
  <c r="L106" i="34"/>
  <c r="K106" i="34"/>
  <c r="G106" i="34"/>
  <c r="AY105" i="34"/>
  <c r="AT105" i="34"/>
  <c r="AP105" i="34"/>
  <c r="AO105" i="34"/>
  <c r="AJ105" i="34"/>
  <c r="AE105" i="34"/>
  <c r="AA105" i="34"/>
  <c r="AA106" i="34" s="1"/>
  <c r="Z105" i="34"/>
  <c r="U105" i="34"/>
  <c r="P105" i="34"/>
  <c r="K105" i="34"/>
  <c r="AY104" i="34"/>
  <c r="AT104" i="34"/>
  <c r="AP104" i="34"/>
  <c r="AP106" i="34" s="1"/>
  <c r="AO104" i="34"/>
  <c r="AJ104" i="34"/>
  <c r="AE104" i="34"/>
  <c r="AA104" i="34"/>
  <c r="AU104" i="34" s="1"/>
  <c r="Z104" i="34"/>
  <c r="U104" i="34"/>
  <c r="P104" i="34"/>
  <c r="K104" i="34"/>
  <c r="AY103" i="34"/>
  <c r="AT103" i="34"/>
  <c r="AO103" i="34"/>
  <c r="AK103" i="34"/>
  <c r="AJ103" i="34"/>
  <c r="AF103" i="34"/>
  <c r="AE103" i="34"/>
  <c r="Z103" i="34"/>
  <c r="V103" i="34"/>
  <c r="U103" i="34"/>
  <c r="Q103" i="34"/>
  <c r="P103" i="34"/>
  <c r="L103" i="34"/>
  <c r="K103" i="34"/>
  <c r="G103" i="34"/>
  <c r="AY102" i="34"/>
  <c r="AT102" i="34"/>
  <c r="AP102" i="34"/>
  <c r="AO102" i="34"/>
  <c r="AJ102" i="34"/>
  <c r="AE102" i="34"/>
  <c r="AA102" i="34"/>
  <c r="Z102" i="34"/>
  <c r="U102" i="34"/>
  <c r="P102" i="34"/>
  <c r="K102" i="34"/>
  <c r="AY101" i="34"/>
  <c r="AT101" i="34"/>
  <c r="AP101" i="34"/>
  <c r="AO101" i="34"/>
  <c r="AJ101" i="34"/>
  <c r="AE101" i="34"/>
  <c r="AA101" i="34"/>
  <c r="AU101" i="34" s="1"/>
  <c r="Z101" i="34"/>
  <c r="U101" i="34"/>
  <c r="P101" i="34"/>
  <c r="K101" i="34"/>
  <c r="AY100" i="34"/>
  <c r="AT100" i="34"/>
  <c r="AO100" i="34"/>
  <c r="AK100" i="34"/>
  <c r="AJ100" i="34"/>
  <c r="AF100" i="34"/>
  <c r="AE100" i="34"/>
  <c r="Z100" i="34"/>
  <c r="V100" i="34"/>
  <c r="U100" i="34"/>
  <c r="Q100" i="34"/>
  <c r="P100" i="34"/>
  <c r="L100" i="34"/>
  <c r="K100" i="34"/>
  <c r="G100" i="34"/>
  <c r="AY99" i="34"/>
  <c r="AT99" i="34"/>
  <c r="AP99" i="34"/>
  <c r="AO99" i="34"/>
  <c r="AJ99" i="34"/>
  <c r="AE99" i="34"/>
  <c r="AA99" i="34"/>
  <c r="AU99" i="34" s="1"/>
  <c r="Z99" i="34"/>
  <c r="U99" i="34"/>
  <c r="P99" i="34"/>
  <c r="K99" i="34"/>
  <c r="AY98" i="34"/>
  <c r="AT98" i="34"/>
  <c r="AP98" i="34"/>
  <c r="AP100" i="34" s="1"/>
  <c r="AO98" i="34"/>
  <c r="AJ98" i="34"/>
  <c r="AE98" i="34"/>
  <c r="AA98" i="34"/>
  <c r="Z98" i="34"/>
  <c r="U98" i="34"/>
  <c r="P98" i="34"/>
  <c r="K98" i="34"/>
  <c r="AY97" i="34"/>
  <c r="AT97" i="34"/>
  <c r="AO97" i="34"/>
  <c r="AK97" i="34"/>
  <c r="AJ97" i="34"/>
  <c r="AF97" i="34"/>
  <c r="AE97" i="34"/>
  <c r="Z97" i="34"/>
  <c r="V97" i="34"/>
  <c r="U97" i="34"/>
  <c r="Q97" i="34"/>
  <c r="P97" i="34"/>
  <c r="L97" i="34"/>
  <c r="K97" i="34"/>
  <c r="G97" i="34"/>
  <c r="AY96" i="34"/>
  <c r="AT96" i="34"/>
  <c r="AP96" i="34"/>
  <c r="AO96" i="34"/>
  <c r="AJ96" i="34"/>
  <c r="AE96" i="34"/>
  <c r="AA96" i="34"/>
  <c r="AU96" i="34" s="1"/>
  <c r="Z96" i="34"/>
  <c r="U96" i="34"/>
  <c r="P96" i="34"/>
  <c r="K96" i="34"/>
  <c r="AY95" i="34"/>
  <c r="AT95" i="34"/>
  <c r="AP95" i="34"/>
  <c r="AP97" i="34" s="1"/>
  <c r="AO95" i="34"/>
  <c r="AJ95" i="34"/>
  <c r="AE95" i="34"/>
  <c r="AA95" i="34"/>
  <c r="Z95" i="34"/>
  <c r="U95" i="34"/>
  <c r="P95" i="34"/>
  <c r="K95" i="34"/>
  <c r="AY94" i="34"/>
  <c r="AT94" i="34"/>
  <c r="AO94" i="34"/>
  <c r="AK94" i="34"/>
  <c r="AJ94" i="34"/>
  <c r="AF94" i="34"/>
  <c r="AE94" i="34"/>
  <c r="Z94" i="34"/>
  <c r="V94" i="34"/>
  <c r="U94" i="34"/>
  <c r="Q94" i="34"/>
  <c r="P94" i="34"/>
  <c r="L94" i="34"/>
  <c r="K94" i="34"/>
  <c r="G94" i="34"/>
  <c r="AY93" i="34"/>
  <c r="AT93" i="34"/>
  <c r="AP93" i="34"/>
  <c r="AO93" i="34"/>
  <c r="AJ93" i="34"/>
  <c r="AE93" i="34"/>
  <c r="AA93" i="34"/>
  <c r="AA94" i="34" s="1"/>
  <c r="Z93" i="34"/>
  <c r="U93" i="34"/>
  <c r="P93" i="34"/>
  <c r="K93" i="34"/>
  <c r="AY92" i="34"/>
  <c r="AT92" i="34"/>
  <c r="AP92" i="34"/>
  <c r="AO92" i="34"/>
  <c r="AJ92" i="34"/>
  <c r="AE92" i="34"/>
  <c r="AA92" i="34"/>
  <c r="AU92" i="34" s="1"/>
  <c r="Z92" i="34"/>
  <c r="U92" i="34"/>
  <c r="P92" i="34"/>
  <c r="K92" i="34"/>
  <c r="AY91" i="34"/>
  <c r="AT91" i="34"/>
  <c r="AO91" i="34"/>
  <c r="AK91" i="34"/>
  <c r="AJ91" i="34"/>
  <c r="AF91" i="34"/>
  <c r="AE91" i="34"/>
  <c r="Z91" i="34"/>
  <c r="V91" i="34"/>
  <c r="U91" i="34"/>
  <c r="Q91" i="34"/>
  <c r="P91" i="34"/>
  <c r="L91" i="34"/>
  <c r="K91" i="34"/>
  <c r="G91" i="34"/>
  <c r="AY90" i="34"/>
  <c r="AT90" i="34"/>
  <c r="AP90" i="34"/>
  <c r="AO90" i="34"/>
  <c r="AJ90" i="34"/>
  <c r="AE90" i="34"/>
  <c r="AA90" i="34"/>
  <c r="Z90" i="34"/>
  <c r="U90" i="34"/>
  <c r="P90" i="34"/>
  <c r="K90" i="34"/>
  <c r="AY89" i="34"/>
  <c r="AU89" i="34"/>
  <c r="AT89" i="34"/>
  <c r="AP89" i="34"/>
  <c r="AO89" i="34"/>
  <c r="AJ89" i="34"/>
  <c r="AE89" i="34"/>
  <c r="AA89" i="34"/>
  <c r="Z89" i="34"/>
  <c r="U89" i="34"/>
  <c r="P89" i="34"/>
  <c r="K89" i="34"/>
  <c r="AY88" i="34"/>
  <c r="AT88" i="34"/>
  <c r="AO88" i="34"/>
  <c r="AK88" i="34"/>
  <c r="AJ88" i="34"/>
  <c r="AF88" i="34"/>
  <c r="AE88" i="34"/>
  <c r="Z88" i="34"/>
  <c r="V88" i="34"/>
  <c r="U88" i="34"/>
  <c r="Q88" i="34"/>
  <c r="P88" i="34"/>
  <c r="L88" i="34"/>
  <c r="K88" i="34"/>
  <c r="G88" i="34"/>
  <c r="AY87" i="34"/>
  <c r="AT87" i="34"/>
  <c r="AP87" i="34"/>
  <c r="AP88" i="34" s="1"/>
  <c r="AO87" i="34"/>
  <c r="AJ87" i="34"/>
  <c r="AE87" i="34"/>
  <c r="AA87" i="34"/>
  <c r="AA88" i="34" s="1"/>
  <c r="Z87" i="34"/>
  <c r="U87" i="34"/>
  <c r="P87" i="34"/>
  <c r="K87" i="34"/>
  <c r="AY85" i="34"/>
  <c r="AT85" i="34"/>
  <c r="AO85" i="34"/>
  <c r="AK85" i="34"/>
  <c r="AJ85" i="34"/>
  <c r="AF85" i="34"/>
  <c r="AE85" i="34"/>
  <c r="Z85" i="34"/>
  <c r="V85" i="34"/>
  <c r="U85" i="34"/>
  <c r="Q85" i="34"/>
  <c r="P85" i="34"/>
  <c r="L85" i="34"/>
  <c r="K85" i="34"/>
  <c r="G85" i="34"/>
  <c r="AY84" i="34"/>
  <c r="AT84" i="34"/>
  <c r="AP84" i="34"/>
  <c r="AO84" i="34"/>
  <c r="AJ84" i="34"/>
  <c r="AE84" i="34"/>
  <c r="AA84" i="34"/>
  <c r="Z84" i="34"/>
  <c r="U84" i="34"/>
  <c r="P84" i="34"/>
  <c r="K84" i="34"/>
  <c r="AY83" i="34"/>
  <c r="AU83" i="34"/>
  <c r="AT83" i="34"/>
  <c r="AP83" i="34"/>
  <c r="AO83" i="34"/>
  <c r="AJ83" i="34"/>
  <c r="AE83" i="34"/>
  <c r="AA83" i="34"/>
  <c r="Z83" i="34"/>
  <c r="U83" i="34"/>
  <c r="P83" i="34"/>
  <c r="K83" i="34"/>
  <c r="AY82" i="34"/>
  <c r="AT82" i="34"/>
  <c r="AO82" i="34"/>
  <c r="AK82" i="34"/>
  <c r="AJ82" i="34"/>
  <c r="AF82" i="34"/>
  <c r="AE82" i="34"/>
  <c r="Z82" i="34"/>
  <c r="V82" i="34"/>
  <c r="U82" i="34"/>
  <c r="Q82" i="34"/>
  <c r="P82" i="34"/>
  <c r="L82" i="34"/>
  <c r="K82" i="34"/>
  <c r="G82" i="34"/>
  <c r="AY81" i="34"/>
  <c r="AT81" i="34"/>
  <c r="AP81" i="34"/>
  <c r="AO81" i="34"/>
  <c r="AJ81" i="34"/>
  <c r="AE81" i="34"/>
  <c r="AA81" i="34"/>
  <c r="AU81" i="34" s="1"/>
  <c r="Z81" i="34"/>
  <c r="U81" i="34"/>
  <c r="P81" i="34"/>
  <c r="K81" i="34"/>
  <c r="AY80" i="34"/>
  <c r="AT80" i="34"/>
  <c r="AP80" i="34"/>
  <c r="AP82" i="34" s="1"/>
  <c r="AO80" i="34"/>
  <c r="AJ80" i="34"/>
  <c r="AE80" i="34"/>
  <c r="AA80" i="34"/>
  <c r="Z80" i="34"/>
  <c r="U80" i="34"/>
  <c r="P80" i="34"/>
  <c r="K80" i="34"/>
  <c r="AY79" i="34"/>
  <c r="AT79" i="34"/>
  <c r="AP79" i="34"/>
  <c r="AO79" i="34"/>
  <c r="AK79" i="34"/>
  <c r="AJ79" i="34"/>
  <c r="AF79" i="34"/>
  <c r="AE79" i="34"/>
  <c r="Z79" i="34"/>
  <c r="V79" i="34"/>
  <c r="U79" i="34"/>
  <c r="Q79" i="34"/>
  <c r="P79" i="34"/>
  <c r="L79" i="34"/>
  <c r="K79" i="34"/>
  <c r="G79" i="34"/>
  <c r="AY78" i="34"/>
  <c r="AU78" i="34"/>
  <c r="AU79" i="34" s="1"/>
  <c r="AT78" i="34"/>
  <c r="AP78" i="34"/>
  <c r="AO78" i="34"/>
  <c r="AJ78" i="34"/>
  <c r="AE78" i="34"/>
  <c r="AA78" i="34"/>
  <c r="AA79" i="34" s="1"/>
  <c r="Z78" i="34"/>
  <c r="U78" i="34"/>
  <c r="P78" i="34"/>
  <c r="K78" i="34"/>
  <c r="AY76" i="34"/>
  <c r="AT76" i="34"/>
  <c r="AO76" i="34"/>
  <c r="AK76" i="34"/>
  <c r="AJ76" i="34"/>
  <c r="AF76" i="34"/>
  <c r="AE76" i="34"/>
  <c r="Z76" i="34"/>
  <c r="V76" i="34"/>
  <c r="U76" i="34"/>
  <c r="Q76" i="34"/>
  <c r="P76" i="34"/>
  <c r="L76" i="34"/>
  <c r="K76" i="34"/>
  <c r="G76" i="34"/>
  <c r="AY75" i="34"/>
  <c r="AT75" i="34"/>
  <c r="AP75" i="34"/>
  <c r="AP76" i="34" s="1"/>
  <c r="AO75" i="34"/>
  <c r="AJ75" i="34"/>
  <c r="AE75" i="34"/>
  <c r="AA75" i="34"/>
  <c r="AA76" i="34" s="1"/>
  <c r="Z75" i="34"/>
  <c r="U75" i="34"/>
  <c r="P75" i="34"/>
  <c r="K75" i="34"/>
  <c r="AY73" i="34"/>
  <c r="AT73" i="34"/>
  <c r="AO73" i="34"/>
  <c r="AK73" i="34"/>
  <c r="AJ73" i="34"/>
  <c r="AF73" i="34"/>
  <c r="AE73" i="34"/>
  <c r="Z73" i="34"/>
  <c r="V73" i="34"/>
  <c r="U73" i="34"/>
  <c r="Q73" i="34"/>
  <c r="P73" i="34"/>
  <c r="L73" i="34"/>
  <c r="K73" i="34"/>
  <c r="G73" i="34"/>
  <c r="AY72" i="34"/>
  <c r="AT72" i="34"/>
  <c r="AP72" i="34"/>
  <c r="AP73" i="34" s="1"/>
  <c r="AO72" i="34"/>
  <c r="AJ72" i="34"/>
  <c r="AE72" i="34"/>
  <c r="AA72" i="34"/>
  <c r="AA73" i="34" s="1"/>
  <c r="Z72" i="34"/>
  <c r="U72" i="34"/>
  <c r="P72" i="34"/>
  <c r="K72" i="34"/>
  <c r="AY70" i="34"/>
  <c r="AT70" i="34"/>
  <c r="AO70" i="34"/>
  <c r="AK70" i="34"/>
  <c r="AJ70" i="34"/>
  <c r="AF70" i="34"/>
  <c r="AE70" i="34"/>
  <c r="Z70" i="34"/>
  <c r="V70" i="34"/>
  <c r="U70" i="34"/>
  <c r="Q70" i="34"/>
  <c r="P70" i="34"/>
  <c r="L70" i="34"/>
  <c r="K70" i="34"/>
  <c r="G70" i="34"/>
  <c r="AY69" i="34"/>
  <c r="AT69" i="34"/>
  <c r="AP69" i="34"/>
  <c r="AP70" i="34" s="1"/>
  <c r="AO69" i="34"/>
  <c r="AJ69" i="34"/>
  <c r="AE69" i="34"/>
  <c r="AA69" i="34"/>
  <c r="AA70" i="34" s="1"/>
  <c r="Z69" i="34"/>
  <c r="U69" i="34"/>
  <c r="P69" i="34"/>
  <c r="K69" i="34"/>
  <c r="AY67" i="34"/>
  <c r="AT67" i="34"/>
  <c r="AO67" i="34"/>
  <c r="AK67" i="34"/>
  <c r="AJ67" i="34"/>
  <c r="AF67" i="34"/>
  <c r="AE67" i="34"/>
  <c r="Z67" i="34"/>
  <c r="V67" i="34"/>
  <c r="U67" i="34"/>
  <c r="Q67" i="34"/>
  <c r="P67" i="34"/>
  <c r="L67" i="34"/>
  <c r="K67" i="34"/>
  <c r="G67" i="34"/>
  <c r="AY66" i="34"/>
  <c r="AU66" i="34"/>
  <c r="AT66" i="34"/>
  <c r="AP66" i="34"/>
  <c r="AO66" i="34"/>
  <c r="AJ66" i="34"/>
  <c r="AE66" i="34"/>
  <c r="AA66" i="34"/>
  <c r="Z66" i="34"/>
  <c r="U66" i="34"/>
  <c r="P66" i="34"/>
  <c r="K66" i="34"/>
  <c r="AY65" i="34"/>
  <c r="AT65" i="34"/>
  <c r="AP65" i="34"/>
  <c r="AP67" i="34" s="1"/>
  <c r="AO65" i="34"/>
  <c r="AJ65" i="34"/>
  <c r="AE65" i="34"/>
  <c r="AA65" i="34"/>
  <c r="Z65" i="34"/>
  <c r="U65" i="34"/>
  <c r="P65" i="34"/>
  <c r="K65" i="34"/>
  <c r="AY64" i="34"/>
  <c r="AT64" i="34"/>
  <c r="AO64" i="34"/>
  <c r="AK64" i="34"/>
  <c r="AJ64" i="34"/>
  <c r="AF64" i="34"/>
  <c r="AE64" i="34"/>
  <c r="Z64" i="34"/>
  <c r="V64" i="34"/>
  <c r="U64" i="34"/>
  <c r="Q64" i="34"/>
  <c r="P64" i="34"/>
  <c r="L64" i="34"/>
  <c r="K64" i="34"/>
  <c r="G64" i="34"/>
  <c r="AY63" i="34"/>
  <c r="AT63" i="34"/>
  <c r="AP63" i="34"/>
  <c r="AO63" i="34"/>
  <c r="AJ63" i="34"/>
  <c r="AE63" i="34"/>
  <c r="AA63" i="34"/>
  <c r="AA64" i="34" s="1"/>
  <c r="Z63" i="34"/>
  <c r="U63" i="34"/>
  <c r="P63" i="34"/>
  <c r="K63" i="34"/>
  <c r="AY62" i="34"/>
  <c r="AT62" i="34"/>
  <c r="AP62" i="34"/>
  <c r="AP64" i="34" s="1"/>
  <c r="AO62" i="34"/>
  <c r="AJ62" i="34"/>
  <c r="AE62" i="34"/>
  <c r="AA62" i="34"/>
  <c r="Z62" i="34"/>
  <c r="U62" i="34"/>
  <c r="P62" i="34"/>
  <c r="K62" i="34"/>
  <c r="AY61" i="34"/>
  <c r="AT61" i="34"/>
  <c r="AO61" i="34"/>
  <c r="AK61" i="34"/>
  <c r="AJ61" i="34"/>
  <c r="AF61" i="34"/>
  <c r="AE61" i="34"/>
  <c r="Z61" i="34"/>
  <c r="V61" i="34"/>
  <c r="U61" i="34"/>
  <c r="Q61" i="34"/>
  <c r="P61" i="34"/>
  <c r="L61" i="34"/>
  <c r="K61" i="34"/>
  <c r="G61" i="34"/>
  <c r="AY60" i="34"/>
  <c r="AT60" i="34"/>
  <c r="AP60" i="34"/>
  <c r="AO60" i="34"/>
  <c r="AJ60" i="34"/>
  <c r="AE60" i="34"/>
  <c r="AA60" i="34"/>
  <c r="Z60" i="34"/>
  <c r="U60" i="34"/>
  <c r="P60" i="34"/>
  <c r="K60" i="34"/>
  <c r="AY59" i="34"/>
  <c r="AT59" i="34"/>
  <c r="AP59" i="34"/>
  <c r="AO59" i="34"/>
  <c r="AJ59" i="34"/>
  <c r="AE59" i="34"/>
  <c r="AA59" i="34"/>
  <c r="AU59" i="34" s="1"/>
  <c r="Z59" i="34"/>
  <c r="U59" i="34"/>
  <c r="P59" i="34"/>
  <c r="K59" i="34"/>
  <c r="AY58" i="34"/>
  <c r="AT58" i="34"/>
  <c r="AO58" i="34"/>
  <c r="AK58" i="34"/>
  <c r="AJ58" i="34"/>
  <c r="AF58" i="34"/>
  <c r="AE58" i="34"/>
  <c r="Z58" i="34"/>
  <c r="V58" i="34"/>
  <c r="U58" i="34"/>
  <c r="Q58" i="34"/>
  <c r="P58" i="34"/>
  <c r="L58" i="34"/>
  <c r="K58" i="34"/>
  <c r="G58" i="34"/>
  <c r="AY56" i="34"/>
  <c r="AT56" i="34"/>
  <c r="AP56" i="34"/>
  <c r="AP58" i="34" s="1"/>
  <c r="AO56" i="34"/>
  <c r="AJ56" i="34"/>
  <c r="AE56" i="34"/>
  <c r="AA56" i="34"/>
  <c r="AA58" i="34" s="1"/>
  <c r="Z56" i="34"/>
  <c r="U56" i="34"/>
  <c r="P56" i="34"/>
  <c r="K56" i="34"/>
  <c r="AY55" i="34"/>
  <c r="AT55" i="34"/>
  <c r="AO55" i="34"/>
  <c r="AK55" i="34"/>
  <c r="AJ55" i="34"/>
  <c r="AF55" i="34"/>
  <c r="AE55" i="34"/>
  <c r="Z55" i="34"/>
  <c r="V55" i="34"/>
  <c r="U55" i="34"/>
  <c r="Q55" i="34"/>
  <c r="P55" i="34"/>
  <c r="L55" i="34"/>
  <c r="K55" i="34"/>
  <c r="G55" i="34"/>
  <c r="AY54" i="34"/>
  <c r="AT54" i="34"/>
  <c r="AP54" i="34"/>
  <c r="AP55" i="34" s="1"/>
  <c r="AO54" i="34"/>
  <c r="AJ54" i="34"/>
  <c r="AE54" i="34"/>
  <c r="AA54" i="34"/>
  <c r="AA55" i="34" s="1"/>
  <c r="Z54" i="34"/>
  <c r="U54" i="34"/>
  <c r="P54" i="34"/>
  <c r="K54" i="34"/>
  <c r="AY52" i="34"/>
  <c r="AT52" i="34"/>
  <c r="AO52" i="34"/>
  <c r="AK52" i="34"/>
  <c r="AJ52" i="34"/>
  <c r="AF52" i="34"/>
  <c r="AE52" i="34"/>
  <c r="Z52" i="34"/>
  <c r="V52" i="34"/>
  <c r="U52" i="34"/>
  <c r="Q52" i="34"/>
  <c r="P52" i="34"/>
  <c r="L52" i="34"/>
  <c r="K52" i="34"/>
  <c r="G52" i="34"/>
  <c r="AY51" i="34"/>
  <c r="AT51" i="34"/>
  <c r="AP51" i="34"/>
  <c r="AO51" i="34"/>
  <c r="AJ51" i="34"/>
  <c r="AE51" i="34"/>
  <c r="AA51" i="34"/>
  <c r="AA52" i="34" s="1"/>
  <c r="Z51" i="34"/>
  <c r="U51" i="34"/>
  <c r="P51" i="34"/>
  <c r="K51" i="34"/>
  <c r="AY50" i="34"/>
  <c r="AT50" i="34"/>
  <c r="AP50" i="34"/>
  <c r="AP52" i="34" s="1"/>
  <c r="AO50" i="34"/>
  <c r="AJ50" i="34"/>
  <c r="AE50" i="34"/>
  <c r="AA50" i="34"/>
  <c r="Z50" i="34"/>
  <c r="U50" i="34"/>
  <c r="P50" i="34"/>
  <c r="K50" i="34"/>
  <c r="AY49" i="34"/>
  <c r="AT49" i="34"/>
  <c r="AP49" i="34"/>
  <c r="AO49" i="34"/>
  <c r="AK49" i="34"/>
  <c r="AJ49" i="34"/>
  <c r="AF49" i="34"/>
  <c r="AE49" i="34"/>
  <c r="Z49" i="34"/>
  <c r="V49" i="34"/>
  <c r="U49" i="34"/>
  <c r="Q49" i="34"/>
  <c r="P49" i="34"/>
  <c r="L49" i="34"/>
  <c r="K49" i="34"/>
  <c r="G49" i="34"/>
  <c r="AY48" i="34"/>
  <c r="AU48" i="34"/>
  <c r="AU49" i="34" s="1"/>
  <c r="AT48" i="34"/>
  <c r="AP48" i="34"/>
  <c r="AO48" i="34"/>
  <c r="AJ48" i="34"/>
  <c r="AE48" i="34"/>
  <c r="AA48" i="34"/>
  <c r="AA49" i="34" s="1"/>
  <c r="Z48" i="34"/>
  <c r="U48" i="34"/>
  <c r="P48" i="34"/>
  <c r="K48" i="34"/>
  <c r="AY46" i="34"/>
  <c r="AT46" i="34"/>
  <c r="AO46" i="34"/>
  <c r="AK46" i="34"/>
  <c r="AJ46" i="34"/>
  <c r="AF46" i="34"/>
  <c r="AE46" i="34"/>
  <c r="Z46" i="34"/>
  <c r="V46" i="34"/>
  <c r="U46" i="34"/>
  <c r="Q46" i="34"/>
  <c r="P46" i="34"/>
  <c r="L46" i="34"/>
  <c r="K46" i="34"/>
  <c r="G46" i="34"/>
  <c r="AY45" i="34"/>
  <c r="AT45" i="34"/>
  <c r="AP45" i="34"/>
  <c r="AP46" i="34" s="1"/>
  <c r="AO45" i="34"/>
  <c r="AJ45" i="34"/>
  <c r="AE45" i="34"/>
  <c r="AA45" i="34"/>
  <c r="AA46" i="34" s="1"/>
  <c r="Z45" i="34"/>
  <c r="U45" i="34"/>
  <c r="P45" i="34"/>
  <c r="K45" i="34"/>
  <c r="AY43" i="34"/>
  <c r="AT43" i="34"/>
  <c r="AP43" i="34"/>
  <c r="AO43" i="34"/>
  <c r="AK43" i="34"/>
  <c r="AJ43" i="34"/>
  <c r="AF43" i="34"/>
  <c r="AE43" i="34"/>
  <c r="Z43" i="34"/>
  <c r="V43" i="34"/>
  <c r="U43" i="34"/>
  <c r="Q43" i="34"/>
  <c r="P43" i="34"/>
  <c r="L43" i="34"/>
  <c r="K43" i="34"/>
  <c r="G43" i="34"/>
  <c r="AY42" i="34"/>
  <c r="AT42" i="34"/>
  <c r="AP42" i="34"/>
  <c r="AO42" i="34"/>
  <c r="AJ42" i="34"/>
  <c r="AE42" i="34"/>
  <c r="AA42" i="34"/>
  <c r="AA43" i="34" s="1"/>
  <c r="Z42" i="34"/>
  <c r="U42" i="34"/>
  <c r="P42" i="34"/>
  <c r="K42" i="34"/>
  <c r="AY40" i="34"/>
  <c r="AT40" i="34"/>
  <c r="AO40" i="34"/>
  <c r="AK40" i="34"/>
  <c r="AJ40" i="34"/>
  <c r="AF40" i="34"/>
  <c r="AE40" i="34"/>
  <c r="Z40" i="34"/>
  <c r="V40" i="34"/>
  <c r="U40" i="34"/>
  <c r="Q40" i="34"/>
  <c r="P40" i="34"/>
  <c r="L40" i="34"/>
  <c r="K40" i="34"/>
  <c r="G40" i="34"/>
  <c r="AY39" i="34"/>
  <c r="AT39" i="34"/>
  <c r="AP39" i="34"/>
  <c r="AO39" i="34"/>
  <c r="AJ39" i="34"/>
  <c r="AE39" i="34"/>
  <c r="AA39" i="34"/>
  <c r="AU39" i="34" s="1"/>
  <c r="Z39" i="34"/>
  <c r="U39" i="34"/>
  <c r="P39" i="34"/>
  <c r="K39" i="34"/>
  <c r="AY38" i="34"/>
  <c r="AT38" i="34"/>
  <c r="AP38" i="34"/>
  <c r="AP40" i="34" s="1"/>
  <c r="AO38" i="34"/>
  <c r="AJ38" i="34"/>
  <c r="AE38" i="34"/>
  <c r="AA38" i="34"/>
  <c r="AU38" i="34" s="1"/>
  <c r="Z38" i="34"/>
  <c r="U38" i="34"/>
  <c r="P38" i="34"/>
  <c r="K38" i="34"/>
  <c r="AY37" i="34"/>
  <c r="AT37" i="34"/>
  <c r="AP37" i="34"/>
  <c r="AO37" i="34"/>
  <c r="AK37" i="34"/>
  <c r="AJ37" i="34"/>
  <c r="AF37" i="34"/>
  <c r="AE37" i="34"/>
  <c r="Z37" i="34"/>
  <c r="V37" i="34"/>
  <c r="U37" i="34"/>
  <c r="Q37" i="34"/>
  <c r="P37" i="34"/>
  <c r="L37" i="34"/>
  <c r="K37" i="34"/>
  <c r="G37" i="34"/>
  <c r="AY36" i="34"/>
  <c r="AU36" i="34"/>
  <c r="AU37" i="34" s="1"/>
  <c r="AT36" i="34"/>
  <c r="AP36" i="34"/>
  <c r="AO36" i="34"/>
  <c r="AJ36" i="34"/>
  <c r="AE36" i="34"/>
  <c r="AA36" i="34"/>
  <c r="AA37" i="34" s="1"/>
  <c r="Z36" i="34"/>
  <c r="U36" i="34"/>
  <c r="P36" i="34"/>
  <c r="K36" i="34"/>
  <c r="AY34" i="34"/>
  <c r="AT34" i="34"/>
  <c r="AO34" i="34"/>
  <c r="AK34" i="34"/>
  <c r="AJ34" i="34"/>
  <c r="AF34" i="34"/>
  <c r="AE34" i="34"/>
  <c r="Z34" i="34"/>
  <c r="V34" i="34"/>
  <c r="U34" i="34"/>
  <c r="Q34" i="34"/>
  <c r="P34" i="34"/>
  <c r="L34" i="34"/>
  <c r="K34" i="34"/>
  <c r="G34" i="34"/>
  <c r="AY33" i="34"/>
  <c r="AT33" i="34"/>
  <c r="AP33" i="34"/>
  <c r="AP34" i="34" s="1"/>
  <c r="AO33" i="34"/>
  <c r="AJ33" i="34"/>
  <c r="AE33" i="34"/>
  <c r="AA33" i="34"/>
  <c r="AA34" i="34" s="1"/>
  <c r="Z33" i="34"/>
  <c r="U33" i="34"/>
  <c r="P33" i="34"/>
  <c r="K33" i="34"/>
  <c r="AY31" i="34"/>
  <c r="AT31" i="34"/>
  <c r="AO31" i="34"/>
  <c r="AK31" i="34"/>
  <c r="AJ31" i="34"/>
  <c r="AF31" i="34"/>
  <c r="AE31" i="34"/>
  <c r="Z31" i="34"/>
  <c r="V31" i="34"/>
  <c r="U31" i="34"/>
  <c r="Q31" i="34"/>
  <c r="P31" i="34"/>
  <c r="L31" i="34"/>
  <c r="K31" i="34"/>
  <c r="G31" i="34"/>
  <c r="AY30" i="34"/>
  <c r="AT30" i="34"/>
  <c r="AP30" i="34"/>
  <c r="AU30" i="34" s="1"/>
  <c r="AU31" i="34" s="1"/>
  <c r="AO30" i="34"/>
  <c r="AJ30" i="34"/>
  <c r="AE30" i="34"/>
  <c r="AA30" i="34"/>
  <c r="AA31" i="34" s="1"/>
  <c r="Z30" i="34"/>
  <c r="U30" i="34"/>
  <c r="P30" i="34"/>
  <c r="K30" i="34"/>
  <c r="AY28" i="34"/>
  <c r="AT28" i="34"/>
  <c r="AO28" i="34"/>
  <c r="AK28" i="34"/>
  <c r="AJ28" i="34"/>
  <c r="AF28" i="34"/>
  <c r="AE28" i="34"/>
  <c r="Z28" i="34"/>
  <c r="V28" i="34"/>
  <c r="U28" i="34"/>
  <c r="Q28" i="34"/>
  <c r="P28" i="34"/>
  <c r="L28" i="34"/>
  <c r="K28" i="34"/>
  <c r="G28" i="34"/>
  <c r="AY27" i="34"/>
  <c r="AT27" i="34"/>
  <c r="AP27" i="34"/>
  <c r="AO27" i="34"/>
  <c r="AJ27" i="34"/>
  <c r="AE27" i="34"/>
  <c r="AA27" i="34"/>
  <c r="Z27" i="34"/>
  <c r="U27" i="34"/>
  <c r="P27" i="34"/>
  <c r="K27" i="34"/>
  <c r="AY26" i="34"/>
  <c r="AT26" i="34"/>
  <c r="AP26" i="34"/>
  <c r="AP28" i="34" s="1"/>
  <c r="AO26" i="34"/>
  <c r="AJ26" i="34"/>
  <c r="AE26" i="34"/>
  <c r="AA26" i="34"/>
  <c r="AU26" i="34" s="1"/>
  <c r="Z26" i="34"/>
  <c r="U26" i="34"/>
  <c r="P26" i="34"/>
  <c r="K26" i="34"/>
  <c r="AY25" i="34"/>
  <c r="AT25" i="34"/>
  <c r="AP25" i="34"/>
  <c r="AO25" i="34"/>
  <c r="AK25" i="34"/>
  <c r="AJ25" i="34"/>
  <c r="AF25" i="34"/>
  <c r="AF112" i="34" s="1"/>
  <c r="AE25" i="34"/>
  <c r="Z25" i="34"/>
  <c r="V25" i="34"/>
  <c r="V112" i="34" s="1"/>
  <c r="U25" i="34"/>
  <c r="Q25" i="34"/>
  <c r="Q112" i="34" s="1"/>
  <c r="P25" i="34"/>
  <c r="L25" i="34"/>
  <c r="L112" i="34" s="1"/>
  <c r="K25" i="34"/>
  <c r="G25" i="34"/>
  <c r="G112" i="34" s="1"/>
  <c r="AY24" i="34"/>
  <c r="AU24" i="34"/>
  <c r="AT24" i="34"/>
  <c r="AP24" i="34"/>
  <c r="AP111" i="34" s="1"/>
  <c r="AO24" i="34"/>
  <c r="AJ24" i="34"/>
  <c r="AE24" i="34"/>
  <c r="AA24" i="34"/>
  <c r="Z24" i="34"/>
  <c r="U24" i="34"/>
  <c r="P24" i="34"/>
  <c r="K24" i="34"/>
  <c r="AY23" i="34"/>
  <c r="AT23" i="34"/>
  <c r="AP23" i="34"/>
  <c r="AP110" i="34" s="1"/>
  <c r="AO23" i="34"/>
  <c r="AJ23" i="34"/>
  <c r="AE23" i="34"/>
  <c r="AA23" i="34"/>
  <c r="AA110" i="34" s="1"/>
  <c r="Z23" i="34"/>
  <c r="U23" i="34"/>
  <c r="K23" i="34"/>
  <c r="AY22" i="34"/>
  <c r="AT22" i="34"/>
  <c r="AO22" i="34"/>
  <c r="AK22" i="34"/>
  <c r="AJ22" i="34"/>
  <c r="AF22" i="34"/>
  <c r="AE22" i="34"/>
  <c r="Z22" i="34"/>
  <c r="V22" i="34"/>
  <c r="U22" i="34"/>
  <c r="K22" i="34"/>
  <c r="G22" i="34"/>
  <c r="AY21" i="34"/>
  <c r="AT21" i="34"/>
  <c r="AP21" i="34"/>
  <c r="AO21" i="34"/>
  <c r="AJ21" i="34"/>
  <c r="AE21" i="34"/>
  <c r="AA21" i="34"/>
  <c r="Z21" i="34"/>
  <c r="U21" i="34"/>
  <c r="K21" i="34"/>
  <c r="AY20" i="34"/>
  <c r="AT20" i="34"/>
  <c r="AP20" i="34"/>
  <c r="AO20" i="34"/>
  <c r="AJ20" i="34"/>
  <c r="AE20" i="34"/>
  <c r="AA20" i="34"/>
  <c r="AU20" i="34" s="1"/>
  <c r="Z20" i="34"/>
  <c r="U20" i="34"/>
  <c r="P20" i="34"/>
  <c r="K20" i="34"/>
  <c r="AY19" i="34"/>
  <c r="AT19" i="34"/>
  <c r="AP19" i="34"/>
  <c r="AO19" i="34"/>
  <c r="AK19" i="34"/>
  <c r="AJ19" i="34"/>
  <c r="AF19" i="34"/>
  <c r="AE19" i="34"/>
  <c r="Z19" i="34"/>
  <c r="V19" i="34"/>
  <c r="U19" i="34"/>
  <c r="Q19" i="34"/>
  <c r="P19" i="34"/>
  <c r="L19" i="34"/>
  <c r="K19" i="34"/>
  <c r="AY18" i="34"/>
  <c r="AT18" i="34"/>
  <c r="AP18" i="34"/>
  <c r="AO18" i="34"/>
  <c r="AJ18" i="34"/>
  <c r="AE18" i="34"/>
  <c r="AA18" i="34"/>
  <c r="AU18" i="34" s="1"/>
  <c r="Z18" i="34"/>
  <c r="U18" i="34"/>
  <c r="P18" i="34"/>
  <c r="K18" i="34"/>
  <c r="AY17" i="34"/>
  <c r="AU17" i="34"/>
  <c r="AT17" i="34"/>
  <c r="AP17" i="34"/>
  <c r="AO17" i="34"/>
  <c r="AJ17" i="34"/>
  <c r="AE17" i="34"/>
  <c r="AA17" i="34"/>
  <c r="AA19" i="34" s="1"/>
  <c r="Z17" i="34"/>
  <c r="U17" i="34"/>
  <c r="P17" i="34"/>
  <c r="AY16" i="34"/>
  <c r="AT16" i="34"/>
  <c r="AO16" i="34"/>
  <c r="AK16" i="34"/>
  <c r="AJ16" i="34"/>
  <c r="AF16" i="34"/>
  <c r="AE16" i="34"/>
  <c r="Z16" i="34"/>
  <c r="V16" i="34"/>
  <c r="U16" i="34"/>
  <c r="Q16" i="34"/>
  <c r="P16" i="34"/>
  <c r="L16" i="34"/>
  <c r="K16" i="34"/>
  <c r="G16" i="34"/>
  <c r="AY14" i="34"/>
  <c r="AT14" i="34"/>
  <c r="AP14" i="34"/>
  <c r="AP16" i="34" s="1"/>
  <c r="AO14" i="34"/>
  <c r="AJ14" i="34"/>
  <c r="AE14" i="34"/>
  <c r="AA14" i="34"/>
  <c r="AA16" i="34" s="1"/>
  <c r="Z14" i="34"/>
  <c r="U14" i="34"/>
  <c r="P14" i="34"/>
  <c r="K14" i="34"/>
  <c r="AY13" i="34"/>
  <c r="AT13" i="34"/>
  <c r="AO13" i="34"/>
  <c r="AK13" i="34"/>
  <c r="AJ13" i="34"/>
  <c r="AF13" i="34"/>
  <c r="AE13" i="34"/>
  <c r="Z13" i="34"/>
  <c r="V13" i="34"/>
  <c r="U13" i="34"/>
  <c r="Q13" i="34"/>
  <c r="P13" i="34"/>
  <c r="L13" i="34"/>
  <c r="K13" i="34"/>
  <c r="G13" i="34"/>
  <c r="AY12" i="34"/>
  <c r="AT12" i="34"/>
  <c r="AP12" i="34"/>
  <c r="AP114" i="34" s="1"/>
  <c r="AO12" i="34"/>
  <c r="AJ12" i="34"/>
  <c r="AE12" i="34"/>
  <c r="AA12" i="34"/>
  <c r="Z12" i="34"/>
  <c r="U12" i="34"/>
  <c r="P12" i="34"/>
  <c r="K12" i="34"/>
  <c r="AY11" i="34"/>
  <c r="AT11" i="34"/>
  <c r="AP11" i="34"/>
  <c r="AO11" i="34"/>
  <c r="AJ11" i="34"/>
  <c r="AE11" i="34"/>
  <c r="AA11" i="34"/>
  <c r="AA13" i="34" s="1"/>
  <c r="Z11" i="34"/>
  <c r="U11" i="34"/>
  <c r="P11" i="34"/>
  <c r="K11" i="34"/>
  <c r="AY10" i="34"/>
  <c r="AT10" i="34"/>
  <c r="AO10" i="34"/>
  <c r="AK10" i="34"/>
  <c r="AK115" i="34" s="1"/>
  <c r="AJ10" i="34"/>
  <c r="AF10" i="34"/>
  <c r="AE10" i="34"/>
  <c r="Z10" i="34"/>
  <c r="V10" i="34"/>
  <c r="V115" i="34" s="1"/>
  <c r="U10" i="34"/>
  <c r="Q10" i="34"/>
  <c r="P10" i="34"/>
  <c r="L10" i="34"/>
  <c r="K10" i="34"/>
  <c r="G10" i="34"/>
  <c r="AY8" i="34"/>
  <c r="AT8" i="34"/>
  <c r="AP8" i="34"/>
  <c r="AP107" i="34" s="1"/>
  <c r="AO8" i="34"/>
  <c r="AJ8" i="34"/>
  <c r="AE8" i="34"/>
  <c r="AA8" i="34"/>
  <c r="Z8" i="34"/>
  <c r="U8" i="34"/>
  <c r="P8" i="34"/>
  <c r="K8" i="34"/>
  <c r="D4" i="34"/>
  <c r="D3" i="34"/>
  <c r="AY118" i="33"/>
  <c r="AT118" i="33"/>
  <c r="AO118" i="33"/>
  <c r="AJ118" i="33"/>
  <c r="AE118" i="33"/>
  <c r="Z118" i="33"/>
  <c r="U118" i="33"/>
  <c r="P118" i="33"/>
  <c r="K118" i="33"/>
  <c r="AY117" i="33"/>
  <c r="AT117" i="33"/>
  <c r="AO117" i="33"/>
  <c r="AK117" i="33"/>
  <c r="AJ117" i="33"/>
  <c r="AF117" i="33"/>
  <c r="AE117" i="33"/>
  <c r="Z117" i="33"/>
  <c r="V117" i="33"/>
  <c r="U117" i="33"/>
  <c r="Q117" i="33"/>
  <c r="P117" i="33"/>
  <c r="L117" i="33"/>
  <c r="K117" i="33"/>
  <c r="G117" i="33"/>
  <c r="AY116" i="33"/>
  <c r="AT116" i="33"/>
  <c r="AO116" i="33"/>
  <c r="AK116" i="33"/>
  <c r="AJ116" i="33"/>
  <c r="AF116" i="33"/>
  <c r="AE116" i="33"/>
  <c r="Z116" i="33"/>
  <c r="V116" i="33"/>
  <c r="U116" i="33"/>
  <c r="Q116" i="33"/>
  <c r="P116" i="33"/>
  <c r="L116" i="33"/>
  <c r="K116" i="33"/>
  <c r="G116" i="33"/>
  <c r="AY115" i="33"/>
  <c r="AT115" i="33"/>
  <c r="AO115" i="33"/>
  <c r="AJ115" i="33"/>
  <c r="AE115" i="33"/>
  <c r="Z115" i="33"/>
  <c r="U115" i="33"/>
  <c r="P115" i="33"/>
  <c r="K115" i="33"/>
  <c r="AY114" i="33"/>
  <c r="AT114" i="33"/>
  <c r="AO114" i="33"/>
  <c r="AK114" i="33"/>
  <c r="AJ114" i="33"/>
  <c r="AF114" i="33"/>
  <c r="AE114" i="33"/>
  <c r="Z114" i="33"/>
  <c r="V114" i="33"/>
  <c r="U114" i="33"/>
  <c r="Q114" i="33"/>
  <c r="P114" i="33"/>
  <c r="L114" i="33"/>
  <c r="K114" i="33"/>
  <c r="G114" i="33"/>
  <c r="AY113" i="33"/>
  <c r="AT113" i="33"/>
  <c r="AO113" i="33"/>
  <c r="AK113" i="33"/>
  <c r="AJ113" i="33"/>
  <c r="AF113" i="33"/>
  <c r="AE113" i="33"/>
  <c r="Z113" i="33"/>
  <c r="V113" i="33"/>
  <c r="U113" i="33"/>
  <c r="Q113" i="33"/>
  <c r="P113" i="33"/>
  <c r="L113" i="33"/>
  <c r="K113" i="33"/>
  <c r="G113" i="33"/>
  <c r="AY112" i="33"/>
  <c r="AT112" i="33"/>
  <c r="AO112" i="33"/>
  <c r="AJ112" i="33"/>
  <c r="AE112" i="33"/>
  <c r="Z112" i="33"/>
  <c r="U112" i="33"/>
  <c r="P112" i="33"/>
  <c r="K112" i="33"/>
  <c r="AY111" i="33"/>
  <c r="AT111" i="33"/>
  <c r="AO111" i="33"/>
  <c r="AK111" i="33"/>
  <c r="AJ111" i="33"/>
  <c r="AF111" i="33"/>
  <c r="AE111" i="33"/>
  <c r="Z111" i="33"/>
  <c r="V111" i="33"/>
  <c r="U111" i="33"/>
  <c r="Q111" i="33"/>
  <c r="P111" i="33"/>
  <c r="L111" i="33"/>
  <c r="K111" i="33"/>
  <c r="G111" i="33"/>
  <c r="AY110" i="33"/>
  <c r="AT110" i="33"/>
  <c r="AO110" i="33"/>
  <c r="AK110" i="33"/>
  <c r="AJ110" i="33"/>
  <c r="AF110" i="33"/>
  <c r="AE110" i="33"/>
  <c r="Z110" i="33"/>
  <c r="V110" i="33"/>
  <c r="U110" i="33"/>
  <c r="Q110" i="33"/>
  <c r="P110" i="33"/>
  <c r="L110" i="33"/>
  <c r="K110" i="33"/>
  <c r="G110" i="33"/>
  <c r="AY109" i="33"/>
  <c r="AT109" i="33"/>
  <c r="AO109" i="33"/>
  <c r="AJ109" i="33"/>
  <c r="AE109" i="33"/>
  <c r="Z109" i="33"/>
  <c r="U109" i="33"/>
  <c r="P109" i="33"/>
  <c r="K109" i="33"/>
  <c r="AY108" i="33"/>
  <c r="AT108" i="33"/>
  <c r="AO108" i="33"/>
  <c r="AK108" i="33"/>
  <c r="AJ108" i="33"/>
  <c r="AF108" i="33"/>
  <c r="AE108" i="33"/>
  <c r="Z108" i="33"/>
  <c r="V108" i="33"/>
  <c r="U108" i="33"/>
  <c r="Q108" i="33"/>
  <c r="P108" i="33"/>
  <c r="L108" i="33"/>
  <c r="K108" i="33"/>
  <c r="G108" i="33"/>
  <c r="AY107" i="33"/>
  <c r="AT107" i="33"/>
  <c r="AO107" i="33"/>
  <c r="AK107" i="33"/>
  <c r="AJ107" i="33"/>
  <c r="AF107" i="33"/>
  <c r="AE107" i="33"/>
  <c r="Z107" i="33"/>
  <c r="V107" i="33"/>
  <c r="U107" i="33"/>
  <c r="Q107" i="33"/>
  <c r="P107" i="33"/>
  <c r="L107" i="33"/>
  <c r="K107" i="33"/>
  <c r="G107" i="33"/>
  <c r="AY106" i="33"/>
  <c r="AT106" i="33"/>
  <c r="AO106" i="33"/>
  <c r="AK106" i="33"/>
  <c r="AJ106" i="33"/>
  <c r="AF106" i="33"/>
  <c r="AE106" i="33"/>
  <c r="Z106" i="33"/>
  <c r="V106" i="33"/>
  <c r="U106" i="33"/>
  <c r="Q106" i="33"/>
  <c r="P106" i="33"/>
  <c r="L106" i="33"/>
  <c r="K106" i="33"/>
  <c r="G106" i="33"/>
  <c r="AY105" i="33"/>
  <c r="AT105" i="33"/>
  <c r="AP105" i="33"/>
  <c r="AO105" i="33"/>
  <c r="AJ105" i="33"/>
  <c r="AE105" i="33"/>
  <c r="AA105" i="33"/>
  <c r="AU105" i="33" s="1"/>
  <c r="Z105" i="33"/>
  <c r="U105" i="33"/>
  <c r="P105" i="33"/>
  <c r="K105" i="33"/>
  <c r="AY104" i="33"/>
  <c r="AU104" i="33"/>
  <c r="AT104" i="33"/>
  <c r="AP104" i="33"/>
  <c r="AP106" i="33" s="1"/>
  <c r="AO104" i="33"/>
  <c r="AJ104" i="33"/>
  <c r="AE104" i="33"/>
  <c r="AA104" i="33"/>
  <c r="Z104" i="33"/>
  <c r="U104" i="33"/>
  <c r="P104" i="33"/>
  <c r="K104" i="33"/>
  <c r="AY103" i="33"/>
  <c r="AT103" i="33"/>
  <c r="AO103" i="33"/>
  <c r="AK103" i="33"/>
  <c r="AJ103" i="33"/>
  <c r="AF103" i="33"/>
  <c r="AE103" i="33"/>
  <c r="Z103" i="33"/>
  <c r="V103" i="33"/>
  <c r="U103" i="33"/>
  <c r="Q103" i="33"/>
  <c r="P103" i="33"/>
  <c r="L103" i="33"/>
  <c r="K103" i="33"/>
  <c r="G103" i="33"/>
  <c r="AY102" i="33"/>
  <c r="AT102" i="33"/>
  <c r="AP102" i="33"/>
  <c r="AO102" i="33"/>
  <c r="AJ102" i="33"/>
  <c r="AE102" i="33"/>
  <c r="AA102" i="33"/>
  <c r="AU102" i="33" s="1"/>
  <c r="Z102" i="33"/>
  <c r="U102" i="33"/>
  <c r="P102" i="33"/>
  <c r="K102" i="33"/>
  <c r="AY101" i="33"/>
  <c r="AT101" i="33"/>
  <c r="AP101" i="33"/>
  <c r="AO101" i="33"/>
  <c r="AJ101" i="33"/>
  <c r="AE101" i="33"/>
  <c r="AA101" i="33"/>
  <c r="AU101" i="33" s="1"/>
  <c r="AU103" i="33" s="1"/>
  <c r="Z101" i="33"/>
  <c r="U101" i="33"/>
  <c r="P101" i="33"/>
  <c r="K101" i="33"/>
  <c r="AY100" i="33"/>
  <c r="AT100" i="33"/>
  <c r="AO100" i="33"/>
  <c r="AK100" i="33"/>
  <c r="AJ100" i="33"/>
  <c r="AF100" i="33"/>
  <c r="AE100" i="33"/>
  <c r="Z100" i="33"/>
  <c r="V100" i="33"/>
  <c r="U100" i="33"/>
  <c r="Q100" i="33"/>
  <c r="P100" i="33"/>
  <c r="L100" i="33"/>
  <c r="K100" i="33"/>
  <c r="G100" i="33"/>
  <c r="AY99" i="33"/>
  <c r="AT99" i="33"/>
  <c r="AP99" i="33"/>
  <c r="AU99" i="33" s="1"/>
  <c r="AO99" i="33"/>
  <c r="AJ99" i="33"/>
  <c r="AE99" i="33"/>
  <c r="AA99" i="33"/>
  <c r="Z99" i="33"/>
  <c r="U99" i="33"/>
  <c r="P99" i="33"/>
  <c r="K99" i="33"/>
  <c r="AY98" i="33"/>
  <c r="AT98" i="33"/>
  <c r="AP98" i="33"/>
  <c r="AO98" i="33"/>
  <c r="AJ98" i="33"/>
  <c r="AE98" i="33"/>
  <c r="AA98" i="33"/>
  <c r="AA100" i="33" s="1"/>
  <c r="Z98" i="33"/>
  <c r="U98" i="33"/>
  <c r="P98" i="33"/>
  <c r="K98" i="33"/>
  <c r="AY97" i="33"/>
  <c r="AT97" i="33"/>
  <c r="AO97" i="33"/>
  <c r="AK97" i="33"/>
  <c r="AJ97" i="33"/>
  <c r="AF97" i="33"/>
  <c r="AE97" i="33"/>
  <c r="Z97" i="33"/>
  <c r="V97" i="33"/>
  <c r="U97" i="33"/>
  <c r="Q97" i="33"/>
  <c r="P97" i="33"/>
  <c r="L97" i="33"/>
  <c r="K97" i="33"/>
  <c r="G97" i="33"/>
  <c r="AY96" i="33"/>
  <c r="AT96" i="33"/>
  <c r="AP96" i="33"/>
  <c r="AO96" i="33"/>
  <c r="AJ96" i="33"/>
  <c r="AE96" i="33"/>
  <c r="AA96" i="33"/>
  <c r="Z96" i="33"/>
  <c r="U96" i="33"/>
  <c r="P96" i="33"/>
  <c r="K96" i="33"/>
  <c r="AY95" i="33"/>
  <c r="AT95" i="33"/>
  <c r="AP95" i="33"/>
  <c r="AP97" i="33" s="1"/>
  <c r="AO95" i="33"/>
  <c r="AJ95" i="33"/>
  <c r="AE95" i="33"/>
  <c r="AA95" i="33"/>
  <c r="AU95" i="33" s="1"/>
  <c r="Z95" i="33"/>
  <c r="U95" i="33"/>
  <c r="P95" i="33"/>
  <c r="K95" i="33"/>
  <c r="AY94" i="33"/>
  <c r="AT94" i="33"/>
  <c r="AO94" i="33"/>
  <c r="AK94" i="33"/>
  <c r="AJ94" i="33"/>
  <c r="AF94" i="33"/>
  <c r="AE94" i="33"/>
  <c r="Z94" i="33"/>
  <c r="V94" i="33"/>
  <c r="U94" i="33"/>
  <c r="Q94" i="33"/>
  <c r="P94" i="33"/>
  <c r="L94" i="33"/>
  <c r="K94" i="33"/>
  <c r="G94" i="33"/>
  <c r="AY93" i="33"/>
  <c r="AT93" i="33"/>
  <c r="AP93" i="33"/>
  <c r="AO93" i="33"/>
  <c r="AJ93" i="33"/>
  <c r="AE93" i="33"/>
  <c r="AA93" i="33"/>
  <c r="AU93" i="33" s="1"/>
  <c r="Z93" i="33"/>
  <c r="U93" i="33"/>
  <c r="P93" i="33"/>
  <c r="K93" i="33"/>
  <c r="AY92" i="33"/>
  <c r="AT92" i="33"/>
  <c r="AP92" i="33"/>
  <c r="AP94" i="33" s="1"/>
  <c r="AO92" i="33"/>
  <c r="AJ92" i="33"/>
  <c r="AE92" i="33"/>
  <c r="AA92" i="33"/>
  <c r="AA94" i="33" s="1"/>
  <c r="Z92" i="33"/>
  <c r="U92" i="33"/>
  <c r="P92" i="33"/>
  <c r="K92" i="33"/>
  <c r="AY91" i="33"/>
  <c r="AT91" i="33"/>
  <c r="AO91" i="33"/>
  <c r="AK91" i="33"/>
  <c r="AJ91" i="33"/>
  <c r="AF91" i="33"/>
  <c r="AE91" i="33"/>
  <c r="Z91" i="33"/>
  <c r="V91" i="33"/>
  <c r="U91" i="33"/>
  <c r="Q91" i="33"/>
  <c r="P91" i="33"/>
  <c r="L91" i="33"/>
  <c r="K91" i="33"/>
  <c r="G91" i="33"/>
  <c r="AY90" i="33"/>
  <c r="AT90" i="33"/>
  <c r="AP90" i="33"/>
  <c r="AO90" i="33"/>
  <c r="AJ90" i="33"/>
  <c r="AE90" i="33"/>
  <c r="AA90" i="33"/>
  <c r="AU90" i="33" s="1"/>
  <c r="Z90" i="33"/>
  <c r="U90" i="33"/>
  <c r="P90" i="33"/>
  <c r="K90" i="33"/>
  <c r="AY89" i="33"/>
  <c r="AT89" i="33"/>
  <c r="AP89" i="33"/>
  <c r="AP91" i="33" s="1"/>
  <c r="AO89" i="33"/>
  <c r="AJ89" i="33"/>
  <c r="AE89" i="33"/>
  <c r="AA89" i="33"/>
  <c r="Z89" i="33"/>
  <c r="U89" i="33"/>
  <c r="P89" i="33"/>
  <c r="K89" i="33"/>
  <c r="AY88" i="33"/>
  <c r="AT88" i="33"/>
  <c r="AP88" i="33"/>
  <c r="AO88" i="33"/>
  <c r="AK88" i="33"/>
  <c r="AJ88" i="33"/>
  <c r="AF88" i="33"/>
  <c r="AE88" i="33"/>
  <c r="Z88" i="33"/>
  <c r="V88" i="33"/>
  <c r="U88" i="33"/>
  <c r="Q88" i="33"/>
  <c r="P88" i="33"/>
  <c r="L88" i="33"/>
  <c r="K88" i="33"/>
  <c r="G88" i="33"/>
  <c r="AY87" i="33"/>
  <c r="AU87" i="33"/>
  <c r="AU88" i="33" s="1"/>
  <c r="AT87" i="33"/>
  <c r="AP87" i="33"/>
  <c r="AO87" i="33"/>
  <c r="AJ87" i="33"/>
  <c r="AE87" i="33"/>
  <c r="AA87" i="33"/>
  <c r="AA88" i="33" s="1"/>
  <c r="Z87" i="33"/>
  <c r="U87" i="33"/>
  <c r="P87" i="33"/>
  <c r="K87" i="33"/>
  <c r="AY85" i="33"/>
  <c r="AT85" i="33"/>
  <c r="AO85" i="33"/>
  <c r="AK85" i="33"/>
  <c r="AJ85" i="33"/>
  <c r="AF85" i="33"/>
  <c r="AE85" i="33"/>
  <c r="Z85" i="33"/>
  <c r="V85" i="33"/>
  <c r="U85" i="33"/>
  <c r="Q85" i="33"/>
  <c r="P85" i="33"/>
  <c r="L85" i="33"/>
  <c r="K85" i="33"/>
  <c r="G85" i="33"/>
  <c r="AY84" i="33"/>
  <c r="AT84" i="33"/>
  <c r="AP84" i="33"/>
  <c r="AO84" i="33"/>
  <c r="AJ84" i="33"/>
  <c r="AE84" i="33"/>
  <c r="AA84" i="33"/>
  <c r="AU84" i="33" s="1"/>
  <c r="Z84" i="33"/>
  <c r="U84" i="33"/>
  <c r="P84" i="33"/>
  <c r="K84" i="33"/>
  <c r="AY83" i="33"/>
  <c r="AT83" i="33"/>
  <c r="AP83" i="33"/>
  <c r="AP85" i="33" s="1"/>
  <c r="AO83" i="33"/>
  <c r="AJ83" i="33"/>
  <c r="AE83" i="33"/>
  <c r="AA83" i="33"/>
  <c r="Z83" i="33"/>
  <c r="U83" i="33"/>
  <c r="P83" i="33"/>
  <c r="K83" i="33"/>
  <c r="AY82" i="33"/>
  <c r="AT82" i="33"/>
  <c r="AO82" i="33"/>
  <c r="AK82" i="33"/>
  <c r="AJ82" i="33"/>
  <c r="AF82" i="33"/>
  <c r="AE82" i="33"/>
  <c r="Z82" i="33"/>
  <c r="V82" i="33"/>
  <c r="U82" i="33"/>
  <c r="Q82" i="33"/>
  <c r="P82" i="33"/>
  <c r="L82" i="33"/>
  <c r="K82" i="33"/>
  <c r="G82" i="33"/>
  <c r="AY81" i="33"/>
  <c r="AT81" i="33"/>
  <c r="AP81" i="33"/>
  <c r="AO81" i="33"/>
  <c r="AJ81" i="33"/>
  <c r="AE81" i="33"/>
  <c r="AA81" i="33"/>
  <c r="AU81" i="33" s="1"/>
  <c r="Z81" i="33"/>
  <c r="U81" i="33"/>
  <c r="P81" i="33"/>
  <c r="K81" i="33"/>
  <c r="AY80" i="33"/>
  <c r="AU80" i="33"/>
  <c r="AT80" i="33"/>
  <c r="AP80" i="33"/>
  <c r="AP82" i="33" s="1"/>
  <c r="AO80" i="33"/>
  <c r="AJ80" i="33"/>
  <c r="AE80" i="33"/>
  <c r="AA80" i="33"/>
  <c r="Z80" i="33"/>
  <c r="U80" i="33"/>
  <c r="P80" i="33"/>
  <c r="K80" i="33"/>
  <c r="AY79" i="33"/>
  <c r="AT79" i="33"/>
  <c r="AO79" i="33"/>
  <c r="AK79" i="33"/>
  <c r="AJ79" i="33"/>
  <c r="AF79" i="33"/>
  <c r="AE79" i="33"/>
  <c r="Z79" i="33"/>
  <c r="V79" i="33"/>
  <c r="U79" i="33"/>
  <c r="Q79" i="33"/>
  <c r="P79" i="33"/>
  <c r="L79" i="33"/>
  <c r="K79" i="33"/>
  <c r="G79" i="33"/>
  <c r="AY78" i="33"/>
  <c r="AT78" i="33"/>
  <c r="AP78" i="33"/>
  <c r="AP79" i="33" s="1"/>
  <c r="AO78" i="33"/>
  <c r="AJ78" i="33"/>
  <c r="AE78" i="33"/>
  <c r="AA78" i="33"/>
  <c r="AU78" i="33" s="1"/>
  <c r="AU79" i="33" s="1"/>
  <c r="Z78" i="33"/>
  <c r="U78" i="33"/>
  <c r="P78" i="33"/>
  <c r="K78" i="33"/>
  <c r="AY76" i="33"/>
  <c r="AT76" i="33"/>
  <c r="AO76" i="33"/>
  <c r="AK76" i="33"/>
  <c r="AJ76" i="33"/>
  <c r="AF76" i="33"/>
  <c r="AE76" i="33"/>
  <c r="Z76" i="33"/>
  <c r="V76" i="33"/>
  <c r="U76" i="33"/>
  <c r="Q76" i="33"/>
  <c r="P76" i="33"/>
  <c r="L76" i="33"/>
  <c r="K76" i="33"/>
  <c r="G76" i="33"/>
  <c r="AY75" i="33"/>
  <c r="AT75" i="33"/>
  <c r="AP75" i="33"/>
  <c r="AP76" i="33" s="1"/>
  <c r="AO75" i="33"/>
  <c r="AJ75" i="33"/>
  <c r="AE75" i="33"/>
  <c r="AA75" i="33"/>
  <c r="AA76" i="33" s="1"/>
  <c r="Z75" i="33"/>
  <c r="U75" i="33"/>
  <c r="P75" i="33"/>
  <c r="K75" i="33"/>
  <c r="AY73" i="33"/>
  <c r="AT73" i="33"/>
  <c r="AO73" i="33"/>
  <c r="AK73" i="33"/>
  <c r="AJ73" i="33"/>
  <c r="AF73" i="33"/>
  <c r="AE73" i="33"/>
  <c r="Z73" i="33"/>
  <c r="V73" i="33"/>
  <c r="U73" i="33"/>
  <c r="Q73" i="33"/>
  <c r="P73" i="33"/>
  <c r="L73" i="33"/>
  <c r="K73" i="33"/>
  <c r="G73" i="33"/>
  <c r="AY72" i="33"/>
  <c r="AT72" i="33"/>
  <c r="AP72" i="33"/>
  <c r="AP73" i="33" s="1"/>
  <c r="AO72" i="33"/>
  <c r="AJ72" i="33"/>
  <c r="AE72" i="33"/>
  <c r="AA72" i="33"/>
  <c r="AA73" i="33" s="1"/>
  <c r="Z72" i="33"/>
  <c r="U72" i="33"/>
  <c r="P72" i="33"/>
  <c r="K72" i="33"/>
  <c r="AY70" i="33"/>
  <c r="AT70" i="33"/>
  <c r="AO70" i="33"/>
  <c r="AK70" i="33"/>
  <c r="AJ70" i="33"/>
  <c r="AF70" i="33"/>
  <c r="AE70" i="33"/>
  <c r="Z70" i="33"/>
  <c r="V70" i="33"/>
  <c r="U70" i="33"/>
  <c r="Q70" i="33"/>
  <c r="P70" i="33"/>
  <c r="L70" i="33"/>
  <c r="K70" i="33"/>
  <c r="G70" i="33"/>
  <c r="AY69" i="33"/>
  <c r="AT69" i="33"/>
  <c r="AP69" i="33"/>
  <c r="AP70" i="33" s="1"/>
  <c r="AO69" i="33"/>
  <c r="AJ69" i="33"/>
  <c r="AE69" i="33"/>
  <c r="AA69" i="33"/>
  <c r="AA70" i="33" s="1"/>
  <c r="Z69" i="33"/>
  <c r="U69" i="33"/>
  <c r="P69" i="33"/>
  <c r="K69" i="33"/>
  <c r="AY67" i="33"/>
  <c r="AT67" i="33"/>
  <c r="AO67" i="33"/>
  <c r="AK67" i="33"/>
  <c r="AJ67" i="33"/>
  <c r="AF67" i="33"/>
  <c r="AE67" i="33"/>
  <c r="Z67" i="33"/>
  <c r="V67" i="33"/>
  <c r="U67" i="33"/>
  <c r="Q67" i="33"/>
  <c r="P67" i="33"/>
  <c r="L67" i="33"/>
  <c r="K67" i="33"/>
  <c r="G67" i="33"/>
  <c r="AY66" i="33"/>
  <c r="AT66" i="33"/>
  <c r="AP66" i="33"/>
  <c r="AO66" i="33"/>
  <c r="AJ66" i="33"/>
  <c r="AE66" i="33"/>
  <c r="AA66" i="33"/>
  <c r="AA67" i="33" s="1"/>
  <c r="Z66" i="33"/>
  <c r="U66" i="33"/>
  <c r="P66" i="33"/>
  <c r="K66" i="33"/>
  <c r="AY65" i="33"/>
  <c r="AT65" i="33"/>
  <c r="AP65" i="33"/>
  <c r="AP67" i="33" s="1"/>
  <c r="AO65" i="33"/>
  <c r="AJ65" i="33"/>
  <c r="AE65" i="33"/>
  <c r="AA65" i="33"/>
  <c r="Z65" i="33"/>
  <c r="U65" i="33"/>
  <c r="P65" i="33"/>
  <c r="K65" i="33"/>
  <c r="AY64" i="33"/>
  <c r="AT64" i="33"/>
  <c r="AO64" i="33"/>
  <c r="AK64" i="33"/>
  <c r="AJ64" i="33"/>
  <c r="AF64" i="33"/>
  <c r="AE64" i="33"/>
  <c r="Z64" i="33"/>
  <c r="V64" i="33"/>
  <c r="U64" i="33"/>
  <c r="Q64" i="33"/>
  <c r="P64" i="33"/>
  <c r="L64" i="33"/>
  <c r="K64" i="33"/>
  <c r="G64" i="33"/>
  <c r="AY63" i="33"/>
  <c r="AT63" i="33"/>
  <c r="AP63" i="33"/>
  <c r="AO63" i="33"/>
  <c r="AJ63" i="33"/>
  <c r="AE63" i="33"/>
  <c r="AA63" i="33"/>
  <c r="AU63" i="33" s="1"/>
  <c r="Z63" i="33"/>
  <c r="U63" i="33"/>
  <c r="P63" i="33"/>
  <c r="K63" i="33"/>
  <c r="AY62" i="33"/>
  <c r="AT62" i="33"/>
  <c r="AP62" i="33"/>
  <c r="AU62" i="33" s="1"/>
  <c r="AO62" i="33"/>
  <c r="AJ62" i="33"/>
  <c r="AE62" i="33"/>
  <c r="AA62" i="33"/>
  <c r="Z62" i="33"/>
  <c r="U62" i="33"/>
  <c r="P62" i="33"/>
  <c r="K62" i="33"/>
  <c r="AY61" i="33"/>
  <c r="AT61" i="33"/>
  <c r="AO61" i="33"/>
  <c r="AK61" i="33"/>
  <c r="AJ61" i="33"/>
  <c r="AF61" i="33"/>
  <c r="AE61" i="33"/>
  <c r="Z61" i="33"/>
  <c r="V61" i="33"/>
  <c r="U61" i="33"/>
  <c r="Q61" i="33"/>
  <c r="P61" i="33"/>
  <c r="L61" i="33"/>
  <c r="K61" i="33"/>
  <c r="G61" i="33"/>
  <c r="AY60" i="33"/>
  <c r="AT60" i="33"/>
  <c r="AP60" i="33"/>
  <c r="AO60" i="33"/>
  <c r="AJ60" i="33"/>
  <c r="AE60" i="33"/>
  <c r="AA60" i="33"/>
  <c r="AU60" i="33" s="1"/>
  <c r="Z60" i="33"/>
  <c r="U60" i="33"/>
  <c r="P60" i="33"/>
  <c r="K60" i="33"/>
  <c r="AY59" i="33"/>
  <c r="AT59" i="33"/>
  <c r="AP59" i="33"/>
  <c r="AP61" i="33" s="1"/>
  <c r="AO59" i="33"/>
  <c r="AJ59" i="33"/>
  <c r="AE59" i="33"/>
  <c r="AA59" i="33"/>
  <c r="Z59" i="33"/>
  <c r="U59" i="33"/>
  <c r="P59" i="33"/>
  <c r="K59" i="33"/>
  <c r="AY58" i="33"/>
  <c r="AT58" i="33"/>
  <c r="AP58" i="33"/>
  <c r="AO58" i="33"/>
  <c r="AK58" i="33"/>
  <c r="AJ58" i="33"/>
  <c r="AF58" i="33"/>
  <c r="AE58" i="33"/>
  <c r="Z58" i="33"/>
  <c r="V58" i="33"/>
  <c r="U58" i="33"/>
  <c r="Q58" i="33"/>
  <c r="P58" i="33"/>
  <c r="L58" i="33"/>
  <c r="K58" i="33"/>
  <c r="G58" i="33"/>
  <c r="AY56" i="33"/>
  <c r="AT56" i="33"/>
  <c r="AP56" i="33"/>
  <c r="AO56" i="33"/>
  <c r="AJ56" i="33"/>
  <c r="AE56" i="33"/>
  <c r="AA56" i="33"/>
  <c r="AA58" i="33" s="1"/>
  <c r="Z56" i="33"/>
  <c r="U56" i="33"/>
  <c r="P56" i="33"/>
  <c r="K56" i="33"/>
  <c r="AY55" i="33"/>
  <c r="AT55" i="33"/>
  <c r="AO55" i="33"/>
  <c r="AK55" i="33"/>
  <c r="AJ55" i="33"/>
  <c r="AF55" i="33"/>
  <c r="AE55" i="33"/>
  <c r="Z55" i="33"/>
  <c r="V55" i="33"/>
  <c r="U55" i="33"/>
  <c r="Q55" i="33"/>
  <c r="P55" i="33"/>
  <c r="L55" i="33"/>
  <c r="K55" i="33"/>
  <c r="G55" i="33"/>
  <c r="AY54" i="33"/>
  <c r="AT54" i="33"/>
  <c r="AP54" i="33"/>
  <c r="AP55" i="33" s="1"/>
  <c r="AO54" i="33"/>
  <c r="AJ54" i="33"/>
  <c r="AE54" i="33"/>
  <c r="AA54" i="33"/>
  <c r="AA55" i="33" s="1"/>
  <c r="Z54" i="33"/>
  <c r="U54" i="33"/>
  <c r="P54" i="33"/>
  <c r="K54" i="33"/>
  <c r="AY52" i="33"/>
  <c r="AT52" i="33"/>
  <c r="AO52" i="33"/>
  <c r="AK52" i="33"/>
  <c r="AJ52" i="33"/>
  <c r="AF52" i="33"/>
  <c r="AE52" i="33"/>
  <c r="Z52" i="33"/>
  <c r="V52" i="33"/>
  <c r="U52" i="33"/>
  <c r="Q52" i="33"/>
  <c r="P52" i="33"/>
  <c r="L52" i="33"/>
  <c r="K52" i="33"/>
  <c r="G52" i="33"/>
  <c r="AY51" i="33"/>
  <c r="AU51" i="33"/>
  <c r="AT51" i="33"/>
  <c r="AP51" i="33"/>
  <c r="AP52" i="33" s="1"/>
  <c r="AO51" i="33"/>
  <c r="AJ51" i="33"/>
  <c r="AE51" i="33"/>
  <c r="AA51" i="33"/>
  <c r="Z51" i="33"/>
  <c r="U51" i="33"/>
  <c r="P51" i="33"/>
  <c r="K51" i="33"/>
  <c r="AY50" i="33"/>
  <c r="AT50" i="33"/>
  <c r="AP50" i="33"/>
  <c r="AO50" i="33"/>
  <c r="AJ50" i="33"/>
  <c r="AE50" i="33"/>
  <c r="AA50" i="33"/>
  <c r="AA52" i="33" s="1"/>
  <c r="Z50" i="33"/>
  <c r="U50" i="33"/>
  <c r="P50" i="33"/>
  <c r="K50" i="33"/>
  <c r="AY49" i="33"/>
  <c r="AT49" i="33"/>
  <c r="AO49" i="33"/>
  <c r="AK49" i="33"/>
  <c r="AJ49" i="33"/>
  <c r="AF49" i="33"/>
  <c r="AE49" i="33"/>
  <c r="Z49" i="33"/>
  <c r="V49" i="33"/>
  <c r="U49" i="33"/>
  <c r="Q49" i="33"/>
  <c r="P49" i="33"/>
  <c r="L49" i="33"/>
  <c r="K49" i="33"/>
  <c r="G49" i="33"/>
  <c r="AY48" i="33"/>
  <c r="AT48" i="33"/>
  <c r="AP48" i="33"/>
  <c r="AP49" i="33" s="1"/>
  <c r="AO48" i="33"/>
  <c r="AJ48" i="33"/>
  <c r="AE48" i="33"/>
  <c r="AA48" i="33"/>
  <c r="AA49" i="33" s="1"/>
  <c r="Z48" i="33"/>
  <c r="U48" i="33"/>
  <c r="P48" i="33"/>
  <c r="K48" i="33"/>
  <c r="AY46" i="33"/>
  <c r="AT46" i="33"/>
  <c r="AP46" i="33"/>
  <c r="AO46" i="33"/>
  <c r="AK46" i="33"/>
  <c r="AJ46" i="33"/>
  <c r="AF46" i="33"/>
  <c r="AE46" i="33"/>
  <c r="Z46" i="33"/>
  <c r="V46" i="33"/>
  <c r="U46" i="33"/>
  <c r="Q46" i="33"/>
  <c r="P46" i="33"/>
  <c r="L46" i="33"/>
  <c r="K46" i="33"/>
  <c r="G46" i="33"/>
  <c r="AY45" i="33"/>
  <c r="AT45" i="33"/>
  <c r="AP45" i="33"/>
  <c r="AO45" i="33"/>
  <c r="AJ45" i="33"/>
  <c r="AE45" i="33"/>
  <c r="AA45" i="33"/>
  <c r="AA46" i="33" s="1"/>
  <c r="Z45" i="33"/>
  <c r="U45" i="33"/>
  <c r="P45" i="33"/>
  <c r="K45" i="33"/>
  <c r="AY43" i="33"/>
  <c r="AT43" i="33"/>
  <c r="AO43" i="33"/>
  <c r="AK43" i="33"/>
  <c r="AJ43" i="33"/>
  <c r="AF43" i="33"/>
  <c r="AE43" i="33"/>
  <c r="Z43" i="33"/>
  <c r="V43" i="33"/>
  <c r="U43" i="33"/>
  <c r="Q43" i="33"/>
  <c r="P43" i="33"/>
  <c r="L43" i="33"/>
  <c r="K43" i="33"/>
  <c r="G43" i="33"/>
  <c r="AY42" i="33"/>
  <c r="AT42" i="33"/>
  <c r="AP42" i="33"/>
  <c r="AP43" i="33" s="1"/>
  <c r="AO42" i="33"/>
  <c r="AJ42" i="33"/>
  <c r="AE42" i="33"/>
  <c r="AA42" i="33"/>
  <c r="AU42" i="33" s="1"/>
  <c r="AU43" i="33" s="1"/>
  <c r="Z42" i="33"/>
  <c r="U42" i="33"/>
  <c r="P42" i="33"/>
  <c r="K42" i="33"/>
  <c r="AY40" i="33"/>
  <c r="AT40" i="33"/>
  <c r="AO40" i="33"/>
  <c r="AK40" i="33"/>
  <c r="AJ40" i="33"/>
  <c r="AF40" i="33"/>
  <c r="AE40" i="33"/>
  <c r="Z40" i="33"/>
  <c r="V40" i="33"/>
  <c r="U40" i="33"/>
  <c r="Q40" i="33"/>
  <c r="P40" i="33"/>
  <c r="L40" i="33"/>
  <c r="K40" i="33"/>
  <c r="G40" i="33"/>
  <c r="AY39" i="33"/>
  <c r="AU39" i="33"/>
  <c r="AT39" i="33"/>
  <c r="AP39" i="33"/>
  <c r="AP40" i="33" s="1"/>
  <c r="AO39" i="33"/>
  <c r="AJ39" i="33"/>
  <c r="AE39" i="33"/>
  <c r="AA39" i="33"/>
  <c r="Z39" i="33"/>
  <c r="U39" i="33"/>
  <c r="P39" i="33"/>
  <c r="K39" i="33"/>
  <c r="AY38" i="33"/>
  <c r="AT38" i="33"/>
  <c r="AP38" i="33"/>
  <c r="AO38" i="33"/>
  <c r="AJ38" i="33"/>
  <c r="AE38" i="33"/>
  <c r="AA38" i="33"/>
  <c r="AA40" i="33" s="1"/>
  <c r="Z38" i="33"/>
  <c r="U38" i="33"/>
  <c r="P38" i="33"/>
  <c r="K38" i="33"/>
  <c r="AY37" i="33"/>
  <c r="AT37" i="33"/>
  <c r="AO37" i="33"/>
  <c r="AK37" i="33"/>
  <c r="AJ37" i="33"/>
  <c r="AF37" i="33"/>
  <c r="AE37" i="33"/>
  <c r="Z37" i="33"/>
  <c r="V37" i="33"/>
  <c r="U37" i="33"/>
  <c r="Q37" i="33"/>
  <c r="P37" i="33"/>
  <c r="L37" i="33"/>
  <c r="K37" i="33"/>
  <c r="G37" i="33"/>
  <c r="AY36" i="33"/>
  <c r="AT36" i="33"/>
  <c r="AP36" i="33"/>
  <c r="AP37" i="33" s="1"/>
  <c r="AO36" i="33"/>
  <c r="AJ36" i="33"/>
  <c r="AE36" i="33"/>
  <c r="AA36" i="33"/>
  <c r="Z36" i="33"/>
  <c r="U36" i="33"/>
  <c r="P36" i="33"/>
  <c r="K36" i="33"/>
  <c r="AY34" i="33"/>
  <c r="AT34" i="33"/>
  <c r="AP34" i="33"/>
  <c r="AO34" i="33"/>
  <c r="AK34" i="33"/>
  <c r="AJ34" i="33"/>
  <c r="AF34" i="33"/>
  <c r="AE34" i="33"/>
  <c r="Z34" i="33"/>
  <c r="V34" i="33"/>
  <c r="U34" i="33"/>
  <c r="Q34" i="33"/>
  <c r="P34" i="33"/>
  <c r="L34" i="33"/>
  <c r="K34" i="33"/>
  <c r="G34" i="33"/>
  <c r="AY33" i="33"/>
  <c r="AT33" i="33"/>
  <c r="AP33" i="33"/>
  <c r="AO33" i="33"/>
  <c r="AJ33" i="33"/>
  <c r="AE33" i="33"/>
  <c r="AA33" i="33"/>
  <c r="AA34" i="33" s="1"/>
  <c r="Z33" i="33"/>
  <c r="U33" i="33"/>
  <c r="P33" i="33"/>
  <c r="K33" i="33"/>
  <c r="AY31" i="33"/>
  <c r="AT31" i="33"/>
  <c r="AO31" i="33"/>
  <c r="AK31" i="33"/>
  <c r="AJ31" i="33"/>
  <c r="AF31" i="33"/>
  <c r="AE31" i="33"/>
  <c r="Z31" i="33"/>
  <c r="V31" i="33"/>
  <c r="U31" i="33"/>
  <c r="Q31" i="33"/>
  <c r="P31" i="33"/>
  <c r="L31" i="33"/>
  <c r="K31" i="33"/>
  <c r="G31" i="33"/>
  <c r="AY30" i="33"/>
  <c r="AT30" i="33"/>
  <c r="AP30" i="33"/>
  <c r="AO30" i="33"/>
  <c r="AJ30" i="33"/>
  <c r="AE30" i="33"/>
  <c r="AA30" i="33"/>
  <c r="AA31" i="33" s="1"/>
  <c r="Z30" i="33"/>
  <c r="U30" i="33"/>
  <c r="P30" i="33"/>
  <c r="K30" i="33"/>
  <c r="AY28" i="33"/>
  <c r="AT28" i="33"/>
  <c r="AO28" i="33"/>
  <c r="AK28" i="33"/>
  <c r="AJ28" i="33"/>
  <c r="AF28" i="33"/>
  <c r="AE28" i="33"/>
  <c r="Z28" i="33"/>
  <c r="V28" i="33"/>
  <c r="U28" i="33"/>
  <c r="Q28" i="33"/>
  <c r="P28" i="33"/>
  <c r="L28" i="33"/>
  <c r="K28" i="33"/>
  <c r="G28" i="33"/>
  <c r="AY27" i="33"/>
  <c r="AT27" i="33"/>
  <c r="AP27" i="33"/>
  <c r="AP28" i="33" s="1"/>
  <c r="AO27" i="33"/>
  <c r="AJ27" i="33"/>
  <c r="AE27" i="33"/>
  <c r="AA27" i="33"/>
  <c r="Z27" i="33"/>
  <c r="U27" i="33"/>
  <c r="P27" i="33"/>
  <c r="K27" i="33"/>
  <c r="AY26" i="33"/>
  <c r="AT26" i="33"/>
  <c r="AP26" i="33"/>
  <c r="AO26" i="33"/>
  <c r="AJ26" i="33"/>
  <c r="AE26" i="33"/>
  <c r="AA26" i="33"/>
  <c r="AA28" i="33" s="1"/>
  <c r="Z26" i="33"/>
  <c r="U26" i="33"/>
  <c r="P26" i="33"/>
  <c r="K26" i="33"/>
  <c r="AY25" i="33"/>
  <c r="AT25" i="33"/>
  <c r="AO25" i="33"/>
  <c r="AK25" i="33"/>
  <c r="AK112" i="33" s="1"/>
  <c r="AJ25" i="33"/>
  <c r="AF25" i="33"/>
  <c r="AE25" i="33"/>
  <c r="Z25" i="33"/>
  <c r="V25" i="33"/>
  <c r="V112" i="33" s="1"/>
  <c r="U25" i="33"/>
  <c r="Q25" i="33"/>
  <c r="Q112" i="33" s="1"/>
  <c r="P25" i="33"/>
  <c r="L25" i="33"/>
  <c r="L112" i="33" s="1"/>
  <c r="K25" i="33"/>
  <c r="G25" i="33"/>
  <c r="G112" i="33" s="1"/>
  <c r="AY24" i="33"/>
  <c r="AT24" i="33"/>
  <c r="AP24" i="33"/>
  <c r="AP111" i="33" s="1"/>
  <c r="AO24" i="33"/>
  <c r="AJ24" i="33"/>
  <c r="AE24" i="33"/>
  <c r="AA24" i="33"/>
  <c r="Z24" i="33"/>
  <c r="U24" i="33"/>
  <c r="P24" i="33"/>
  <c r="K24" i="33"/>
  <c r="AY23" i="33"/>
  <c r="AT23" i="33"/>
  <c r="AP23" i="33"/>
  <c r="AP110" i="33" s="1"/>
  <c r="AO23" i="33"/>
  <c r="AJ23" i="33"/>
  <c r="AE23" i="33"/>
  <c r="AA23" i="33"/>
  <c r="AA110" i="33" s="1"/>
  <c r="Z23" i="33"/>
  <c r="U23" i="33"/>
  <c r="P23" i="33"/>
  <c r="K23" i="33"/>
  <c r="AY22" i="33"/>
  <c r="AT22" i="33"/>
  <c r="AO22" i="33"/>
  <c r="AK22" i="33"/>
  <c r="AJ22" i="33"/>
  <c r="AF22" i="33"/>
  <c r="AE22" i="33"/>
  <c r="Z22" i="33"/>
  <c r="V22" i="33"/>
  <c r="U22" i="33"/>
  <c r="Q22" i="33"/>
  <c r="P22" i="33"/>
  <c r="L22" i="33"/>
  <c r="K22" i="33"/>
  <c r="G22" i="33"/>
  <c r="AY21" i="33"/>
  <c r="AT21" i="33"/>
  <c r="AP21" i="33"/>
  <c r="AO21" i="33"/>
  <c r="AJ21" i="33"/>
  <c r="AE21" i="33"/>
  <c r="AA21" i="33"/>
  <c r="AU21" i="33" s="1"/>
  <c r="Z21" i="33"/>
  <c r="U21" i="33"/>
  <c r="P21" i="33"/>
  <c r="K21" i="33"/>
  <c r="AY20" i="33"/>
  <c r="AT20" i="33"/>
  <c r="AP20" i="33"/>
  <c r="AU20" i="33" s="1"/>
  <c r="AU22" i="33" s="1"/>
  <c r="AO20" i="33"/>
  <c r="AJ20" i="33"/>
  <c r="AE20" i="33"/>
  <c r="AA20" i="33"/>
  <c r="Z20" i="33"/>
  <c r="U20" i="33"/>
  <c r="P20" i="33"/>
  <c r="K20" i="33"/>
  <c r="AY19" i="33"/>
  <c r="AT19" i="33"/>
  <c r="AO19" i="33"/>
  <c r="AK19" i="33"/>
  <c r="AJ19" i="33"/>
  <c r="AF19" i="33"/>
  <c r="AE19" i="33"/>
  <c r="Z19" i="33"/>
  <c r="V19" i="33"/>
  <c r="U19" i="33"/>
  <c r="Q19" i="33"/>
  <c r="P19" i="33"/>
  <c r="L19" i="33"/>
  <c r="K19" i="33"/>
  <c r="G19" i="33"/>
  <c r="AY18" i="33"/>
  <c r="AT18" i="33"/>
  <c r="AP18" i="33"/>
  <c r="AO18" i="33"/>
  <c r="AJ18" i="33"/>
  <c r="AE18" i="33"/>
  <c r="AA18" i="33"/>
  <c r="AU18" i="33" s="1"/>
  <c r="Z18" i="33"/>
  <c r="U18" i="33"/>
  <c r="P18" i="33"/>
  <c r="K18" i="33"/>
  <c r="AY17" i="33"/>
  <c r="AT17" i="33"/>
  <c r="AP17" i="33"/>
  <c r="AP19" i="33" s="1"/>
  <c r="AO17" i="33"/>
  <c r="AJ17" i="33"/>
  <c r="AE17" i="33"/>
  <c r="AA17" i="33"/>
  <c r="Z17" i="33"/>
  <c r="U17" i="33"/>
  <c r="P17" i="33"/>
  <c r="K17" i="33"/>
  <c r="AY16" i="33"/>
  <c r="AT16" i="33"/>
  <c r="AP16" i="33"/>
  <c r="AO16" i="33"/>
  <c r="AK16" i="33"/>
  <c r="AJ16" i="33"/>
  <c r="AF16" i="33"/>
  <c r="AE16" i="33"/>
  <c r="Z16" i="33"/>
  <c r="V16" i="33"/>
  <c r="U16" i="33"/>
  <c r="Q16" i="33"/>
  <c r="P16" i="33"/>
  <c r="L16" i="33"/>
  <c r="K16" i="33"/>
  <c r="G16" i="33"/>
  <c r="AY14" i="33"/>
  <c r="AU14" i="33"/>
  <c r="AU16" i="33" s="1"/>
  <c r="AT14" i="33"/>
  <c r="AP14" i="33"/>
  <c r="AO14" i="33"/>
  <c r="AJ14" i="33"/>
  <c r="AE14" i="33"/>
  <c r="AA14" i="33"/>
  <c r="AA16" i="33" s="1"/>
  <c r="Z14" i="33"/>
  <c r="U14" i="33"/>
  <c r="P14" i="33"/>
  <c r="K14" i="33"/>
  <c r="AY13" i="33"/>
  <c r="AT13" i="33"/>
  <c r="AO13" i="33"/>
  <c r="AK13" i="33"/>
  <c r="AJ13" i="33"/>
  <c r="AF13" i="33"/>
  <c r="AE13" i="33"/>
  <c r="Z13" i="33"/>
  <c r="V13" i="33"/>
  <c r="U13" i="33"/>
  <c r="Q13" i="33"/>
  <c r="P13" i="33"/>
  <c r="L13" i="33"/>
  <c r="K13" i="33"/>
  <c r="G13" i="33"/>
  <c r="G115" i="33" s="1"/>
  <c r="AY12" i="33"/>
  <c r="AT12" i="33"/>
  <c r="AP12" i="33"/>
  <c r="AO12" i="33"/>
  <c r="AJ12" i="33"/>
  <c r="AE12" i="33"/>
  <c r="AA12" i="33"/>
  <c r="Z12" i="33"/>
  <c r="U12" i="33"/>
  <c r="P12" i="33"/>
  <c r="K12" i="33"/>
  <c r="AY11" i="33"/>
  <c r="AT11" i="33"/>
  <c r="AP11" i="33"/>
  <c r="AP13" i="33" s="1"/>
  <c r="AO11" i="33"/>
  <c r="AJ11" i="33"/>
  <c r="AE11" i="33"/>
  <c r="AA11" i="33"/>
  <c r="Z11" i="33"/>
  <c r="U11" i="33"/>
  <c r="P11" i="33"/>
  <c r="K11" i="33"/>
  <c r="AY10" i="33"/>
  <c r="AT10" i="33"/>
  <c r="AO10" i="33"/>
  <c r="AK10" i="33"/>
  <c r="AJ10" i="33"/>
  <c r="AF10" i="33"/>
  <c r="AE10" i="33"/>
  <c r="Z10" i="33"/>
  <c r="V10" i="33"/>
  <c r="V115" i="33" s="1"/>
  <c r="U10" i="33"/>
  <c r="Q10" i="33"/>
  <c r="P10" i="33"/>
  <c r="L10" i="33"/>
  <c r="K10" i="33"/>
  <c r="G10" i="33"/>
  <c r="AY8" i="33"/>
  <c r="AU8" i="33"/>
  <c r="AU10" i="33" s="1"/>
  <c r="AT8" i="33"/>
  <c r="AP8" i="33"/>
  <c r="AO8" i="33"/>
  <c r="AJ8" i="33"/>
  <c r="AE8" i="33"/>
  <c r="AA8" i="33"/>
  <c r="AA10" i="33" s="1"/>
  <c r="Z8" i="33"/>
  <c r="U8" i="33"/>
  <c r="P8" i="33"/>
  <c r="K8" i="33"/>
  <c r="D4" i="33"/>
  <c r="D3" i="33"/>
  <c r="AU64" i="33" l="1"/>
  <c r="AK109" i="33"/>
  <c r="AU82" i="33"/>
  <c r="AU106" i="33"/>
  <c r="L109" i="33"/>
  <c r="AA22" i="33"/>
  <c r="Q109" i="33"/>
  <c r="AA64" i="33"/>
  <c r="AU65" i="33"/>
  <c r="AP103" i="33"/>
  <c r="AA114" i="34"/>
  <c r="AP94" i="34"/>
  <c r="AU98" i="34"/>
  <c r="AU100" i="34" s="1"/>
  <c r="AU27" i="33"/>
  <c r="AK115" i="33"/>
  <c r="AP114" i="33"/>
  <c r="AP22" i="33"/>
  <c r="AP108" i="33"/>
  <c r="AP64" i="33"/>
  <c r="AU75" i="33"/>
  <c r="AU76" i="33" s="1"/>
  <c r="AA82" i="33"/>
  <c r="AU83" i="33"/>
  <c r="AA106" i="33"/>
  <c r="G118" i="34"/>
  <c r="AU21" i="34"/>
  <c r="AU22" i="34" s="1"/>
  <c r="AU23" i="34"/>
  <c r="AU110" i="34" s="1"/>
  <c r="AU50" i="34"/>
  <c r="AU62" i="34"/>
  <c r="AU80" i="34"/>
  <c r="AU82" i="34" s="1"/>
  <c r="AU95" i="34"/>
  <c r="AU97" i="34" s="1"/>
  <c r="AP103" i="34"/>
  <c r="AA103" i="34"/>
  <c r="AF109" i="33"/>
  <c r="AP107" i="33"/>
  <c r="AU89" i="33"/>
  <c r="AU91" i="33" s="1"/>
  <c r="AU96" i="33"/>
  <c r="AU98" i="33"/>
  <c r="AU100" i="33" s="1"/>
  <c r="AA113" i="34"/>
  <c r="AF109" i="34"/>
  <c r="AU11" i="34"/>
  <c r="AP22" i="34"/>
  <c r="AK112" i="34"/>
  <c r="AU40" i="34"/>
  <c r="AP85" i="34"/>
  <c r="AA85" i="34"/>
  <c r="AP91" i="34"/>
  <c r="AA91" i="34"/>
  <c r="AA114" i="33"/>
  <c r="Q115" i="33"/>
  <c r="AU11" i="33"/>
  <c r="AP10" i="33"/>
  <c r="AU17" i="33"/>
  <c r="AU19" i="33" s="1"/>
  <c r="AU24" i="33"/>
  <c r="AF112" i="33"/>
  <c r="AU26" i="33"/>
  <c r="AU28" i="33" s="1"/>
  <c r="AU36" i="33"/>
  <c r="AU37" i="33" s="1"/>
  <c r="AU38" i="33"/>
  <c r="AU40" i="33" s="1"/>
  <c r="AU50" i="33"/>
  <c r="AU52" i="33" s="1"/>
  <c r="AU59" i="33"/>
  <c r="AU61" i="33" s="1"/>
  <c r="AU69" i="33"/>
  <c r="AU70" i="33" s="1"/>
  <c r="AA111" i="33"/>
  <c r="L109" i="34"/>
  <c r="AU19" i="34"/>
  <c r="AU33" i="33"/>
  <c r="AU34" i="33" s="1"/>
  <c r="AU45" i="33"/>
  <c r="AU46" i="33" s="1"/>
  <c r="AU56" i="33"/>
  <c r="AU58" i="33" s="1"/>
  <c r="AU92" i="33"/>
  <c r="AU94" i="33" s="1"/>
  <c r="AP100" i="33"/>
  <c r="Q115" i="34"/>
  <c r="AP13" i="34"/>
  <c r="AP31" i="34"/>
  <c r="AU42" i="34"/>
  <c r="AU43" i="34" s="1"/>
  <c r="AU12" i="34"/>
  <c r="AA28" i="34"/>
  <c r="AU65" i="34"/>
  <c r="AU67" i="34" s="1"/>
  <c r="G118" i="33"/>
  <c r="AA25" i="34"/>
  <c r="AA112" i="34" s="1"/>
  <c r="AP61" i="34"/>
  <c r="AA61" i="34"/>
  <c r="AP112" i="34"/>
  <c r="AU91" i="34"/>
  <c r="AU33" i="34"/>
  <c r="AU34" i="34" s="1"/>
  <c r="AU56" i="34"/>
  <c r="AU58" i="34" s="1"/>
  <c r="AA67" i="34"/>
  <c r="AU75" i="34"/>
  <c r="AU76" i="34" s="1"/>
  <c r="AU87" i="34"/>
  <c r="AU88" i="34" s="1"/>
  <c r="AA97" i="34"/>
  <c r="AA107" i="34"/>
  <c r="AP108" i="34"/>
  <c r="Q109" i="34"/>
  <c r="AK109" i="34"/>
  <c r="AA111" i="34"/>
  <c r="G115" i="34"/>
  <c r="AP116" i="34"/>
  <c r="L118" i="34"/>
  <c r="AF118" i="34"/>
  <c r="AA10" i="34"/>
  <c r="AA40" i="34"/>
  <c r="AU54" i="34"/>
  <c r="AU55" i="34" s="1"/>
  <c r="AU60" i="34"/>
  <c r="AU61" i="34" s="1"/>
  <c r="AU72" i="34"/>
  <c r="AU73" i="34" s="1"/>
  <c r="AA82" i="34"/>
  <c r="AU84" i="34"/>
  <c r="AU90" i="34"/>
  <c r="AA100" i="34"/>
  <c r="AU102" i="34"/>
  <c r="AU103" i="34" s="1"/>
  <c r="AA108" i="34"/>
  <c r="V109" i="34"/>
  <c r="AP113" i="34"/>
  <c r="L115" i="34"/>
  <c r="AF115" i="34"/>
  <c r="AA116" i="34"/>
  <c r="AP117" i="34"/>
  <c r="Q118" i="34"/>
  <c r="AK118" i="34"/>
  <c r="AA22" i="34"/>
  <c r="AU8" i="34"/>
  <c r="AP10" i="34"/>
  <c r="AU14" i="34"/>
  <c r="AU16" i="34" s="1"/>
  <c r="AU27" i="34"/>
  <c r="AU28" i="34" s="1"/>
  <c r="AU45" i="34"/>
  <c r="AU46" i="34" s="1"/>
  <c r="AU51" i="34"/>
  <c r="AU52" i="34" s="1"/>
  <c r="AU63" i="34"/>
  <c r="AU64" i="34" s="1"/>
  <c r="AU69" i="34"/>
  <c r="AU70" i="34" s="1"/>
  <c r="AU93" i="34"/>
  <c r="AU94" i="34" s="1"/>
  <c r="AU105" i="34"/>
  <c r="AU106" i="34" s="1"/>
  <c r="G109" i="34"/>
  <c r="AA117" i="34"/>
  <c r="V118" i="34"/>
  <c r="AU85" i="33"/>
  <c r="AU111" i="33"/>
  <c r="AU97" i="33"/>
  <c r="AA19" i="33"/>
  <c r="L118" i="33"/>
  <c r="AP25" i="33"/>
  <c r="AP112" i="33" s="1"/>
  <c r="AU30" i="33"/>
  <c r="AU31" i="33" s="1"/>
  <c r="AP31" i="33"/>
  <c r="AU48" i="33"/>
  <c r="AU49" i="33" s="1"/>
  <c r="AU54" i="33"/>
  <c r="AU55" i="33" s="1"/>
  <c r="AU72" i="33"/>
  <c r="AU73" i="33" s="1"/>
  <c r="AA108" i="33"/>
  <c r="V109" i="33"/>
  <c r="AP113" i="33"/>
  <c r="L115" i="33"/>
  <c r="AF115" i="33"/>
  <c r="AA116" i="33"/>
  <c r="AP117" i="33"/>
  <c r="Q118" i="33"/>
  <c r="AK118" i="33"/>
  <c r="AA79" i="33"/>
  <c r="AA43" i="33"/>
  <c r="AP116" i="33"/>
  <c r="AA61" i="33"/>
  <c r="AA85" i="33"/>
  <c r="AA91" i="33"/>
  <c r="AA103" i="33"/>
  <c r="G109" i="33"/>
  <c r="AA113" i="33"/>
  <c r="AA117" i="33"/>
  <c r="V118" i="33"/>
  <c r="AA97" i="33"/>
  <c r="AA25" i="33"/>
  <c r="AA112" i="33" s="1"/>
  <c r="AA13" i="33"/>
  <c r="AA37" i="33"/>
  <c r="AA107" i="33"/>
  <c r="AF118" i="33"/>
  <c r="AU12" i="33"/>
  <c r="AU23" i="33"/>
  <c r="AU66" i="33"/>
  <c r="AU67" i="33" s="1"/>
  <c r="AY31" i="2"/>
  <c r="AT31" i="2"/>
  <c r="AO31" i="2"/>
  <c r="AK31" i="2"/>
  <c r="AJ31" i="2"/>
  <c r="AF31" i="2"/>
  <c r="AE31" i="2"/>
  <c r="Z31" i="2"/>
  <c r="V31" i="2"/>
  <c r="U31" i="2"/>
  <c r="Q31" i="2"/>
  <c r="P31" i="2"/>
  <c r="L31" i="2"/>
  <c r="K31" i="2"/>
  <c r="G31" i="2"/>
  <c r="AY30" i="2"/>
  <c r="AT30" i="2"/>
  <c r="AP30" i="2"/>
  <c r="AP31" i="2" s="1"/>
  <c r="AO30" i="2"/>
  <c r="AJ30" i="2"/>
  <c r="AE30" i="2"/>
  <c r="AA30" i="2"/>
  <c r="AA31" i="2" s="1"/>
  <c r="Z30" i="2"/>
  <c r="U30" i="2"/>
  <c r="P30" i="2"/>
  <c r="K30" i="2"/>
  <c r="AY34" i="2"/>
  <c r="AT34" i="2"/>
  <c r="AO34" i="2"/>
  <c r="AK34" i="2"/>
  <c r="AJ34" i="2"/>
  <c r="AF34" i="2"/>
  <c r="AE34" i="2"/>
  <c r="Z34" i="2"/>
  <c r="V34" i="2"/>
  <c r="U34" i="2"/>
  <c r="Q34" i="2"/>
  <c r="P34" i="2"/>
  <c r="L34" i="2"/>
  <c r="K34" i="2"/>
  <c r="G34" i="2"/>
  <c r="AY33" i="2"/>
  <c r="AT33" i="2"/>
  <c r="AP33" i="2"/>
  <c r="AP34" i="2" s="1"/>
  <c r="AO33" i="2"/>
  <c r="AJ33" i="2"/>
  <c r="AE33" i="2"/>
  <c r="AA33" i="2"/>
  <c r="AA34" i="2" s="1"/>
  <c r="Z33" i="2"/>
  <c r="U33" i="2"/>
  <c r="P33" i="2"/>
  <c r="K33" i="2"/>
  <c r="AY37" i="2"/>
  <c r="AT37" i="2"/>
  <c r="AO37" i="2"/>
  <c r="AK37" i="2"/>
  <c r="AJ37" i="2"/>
  <c r="AF37" i="2"/>
  <c r="AE37" i="2"/>
  <c r="Z37" i="2"/>
  <c r="V37" i="2"/>
  <c r="U37" i="2"/>
  <c r="Q37" i="2"/>
  <c r="P37" i="2"/>
  <c r="L37" i="2"/>
  <c r="K37" i="2"/>
  <c r="G37" i="2"/>
  <c r="AY36" i="2"/>
  <c r="AT36" i="2"/>
  <c r="AP36" i="2"/>
  <c r="AP37" i="2" s="1"/>
  <c r="AO36" i="2"/>
  <c r="AJ36" i="2"/>
  <c r="AE36" i="2"/>
  <c r="AA36" i="2"/>
  <c r="AA37" i="2" s="1"/>
  <c r="Z36" i="2"/>
  <c r="U36" i="2"/>
  <c r="P36" i="2"/>
  <c r="K36" i="2"/>
  <c r="AY43" i="2"/>
  <c r="AT43" i="2"/>
  <c r="AO43" i="2"/>
  <c r="AK43" i="2"/>
  <c r="AJ43" i="2"/>
  <c r="AF43" i="2"/>
  <c r="AE43" i="2"/>
  <c r="Z43" i="2"/>
  <c r="V43" i="2"/>
  <c r="U43" i="2"/>
  <c r="Q43" i="2"/>
  <c r="P43" i="2"/>
  <c r="L43" i="2"/>
  <c r="K43" i="2"/>
  <c r="G43" i="2"/>
  <c r="AY42" i="2"/>
  <c r="AT42" i="2"/>
  <c r="AP42" i="2"/>
  <c r="AP43" i="2" s="1"/>
  <c r="AO42" i="2"/>
  <c r="AJ42" i="2"/>
  <c r="AE42" i="2"/>
  <c r="AA42" i="2"/>
  <c r="AA43" i="2" s="1"/>
  <c r="Z42" i="2"/>
  <c r="U42" i="2"/>
  <c r="P42" i="2"/>
  <c r="K42" i="2"/>
  <c r="AY46" i="2"/>
  <c r="AT46" i="2"/>
  <c r="AO46" i="2"/>
  <c r="AK46" i="2"/>
  <c r="AJ46" i="2"/>
  <c r="AF46" i="2"/>
  <c r="AE46" i="2"/>
  <c r="Z46" i="2"/>
  <c r="V46" i="2"/>
  <c r="U46" i="2"/>
  <c r="Q46" i="2"/>
  <c r="P46" i="2"/>
  <c r="L46" i="2"/>
  <c r="K46" i="2"/>
  <c r="G46" i="2"/>
  <c r="AY45" i="2"/>
  <c r="AT45" i="2"/>
  <c r="AP45" i="2"/>
  <c r="AP46" i="2" s="1"/>
  <c r="AO45" i="2"/>
  <c r="AJ45" i="2"/>
  <c r="AE45" i="2"/>
  <c r="AA45" i="2"/>
  <c r="AA46" i="2" s="1"/>
  <c r="Z45" i="2"/>
  <c r="U45" i="2"/>
  <c r="P45" i="2"/>
  <c r="K45" i="2"/>
  <c r="AY49" i="2"/>
  <c r="AT49" i="2"/>
  <c r="AO49" i="2"/>
  <c r="AK49" i="2"/>
  <c r="AJ49" i="2"/>
  <c r="AF49" i="2"/>
  <c r="AE49" i="2"/>
  <c r="Z49" i="2"/>
  <c r="V49" i="2"/>
  <c r="U49" i="2"/>
  <c r="Q49" i="2"/>
  <c r="P49" i="2"/>
  <c r="L49" i="2"/>
  <c r="K49" i="2"/>
  <c r="G49" i="2"/>
  <c r="AY48" i="2"/>
  <c r="AT48" i="2"/>
  <c r="AP48" i="2"/>
  <c r="AP49" i="2" s="1"/>
  <c r="AO48" i="2"/>
  <c r="AJ48" i="2"/>
  <c r="AE48" i="2"/>
  <c r="AA48" i="2"/>
  <c r="AA49" i="2" s="1"/>
  <c r="Z48" i="2"/>
  <c r="U48" i="2"/>
  <c r="P48" i="2"/>
  <c r="K48" i="2"/>
  <c r="AY55" i="2"/>
  <c r="AT55" i="2"/>
  <c r="AO55" i="2"/>
  <c r="AK55" i="2"/>
  <c r="AJ55" i="2"/>
  <c r="AF55" i="2"/>
  <c r="AE55" i="2"/>
  <c r="Z55" i="2"/>
  <c r="V55" i="2"/>
  <c r="U55" i="2"/>
  <c r="Q55" i="2"/>
  <c r="P55" i="2"/>
  <c r="L55" i="2"/>
  <c r="K55" i="2"/>
  <c r="G55" i="2"/>
  <c r="AY54" i="2"/>
  <c r="AT54" i="2"/>
  <c r="AP54" i="2"/>
  <c r="AP55" i="2" s="1"/>
  <c r="AO54" i="2"/>
  <c r="AJ54" i="2"/>
  <c r="AE54" i="2"/>
  <c r="AA54" i="2"/>
  <c r="AA55" i="2" s="1"/>
  <c r="Z54" i="2"/>
  <c r="U54" i="2"/>
  <c r="P54" i="2"/>
  <c r="K54" i="2"/>
  <c r="AY70" i="2"/>
  <c r="AT70" i="2"/>
  <c r="AO70" i="2"/>
  <c r="AK70" i="2"/>
  <c r="AJ70" i="2"/>
  <c r="AF70" i="2"/>
  <c r="AE70" i="2"/>
  <c r="Z70" i="2"/>
  <c r="V70" i="2"/>
  <c r="U70" i="2"/>
  <c r="Q70" i="2"/>
  <c r="P70" i="2"/>
  <c r="L70" i="2"/>
  <c r="K70" i="2"/>
  <c r="G70" i="2"/>
  <c r="AY69" i="2"/>
  <c r="AT69" i="2"/>
  <c r="AP69" i="2"/>
  <c r="AP70" i="2" s="1"/>
  <c r="AO69" i="2"/>
  <c r="AJ69" i="2"/>
  <c r="AE69" i="2"/>
  <c r="AA69" i="2"/>
  <c r="AA70" i="2" s="1"/>
  <c r="Z69" i="2"/>
  <c r="U69" i="2"/>
  <c r="P69" i="2"/>
  <c r="K69" i="2"/>
  <c r="AY73" i="2"/>
  <c r="AT73" i="2"/>
  <c r="AO73" i="2"/>
  <c r="AK73" i="2"/>
  <c r="AJ73" i="2"/>
  <c r="AF73" i="2"/>
  <c r="AE73" i="2"/>
  <c r="Z73" i="2"/>
  <c r="V73" i="2"/>
  <c r="U73" i="2"/>
  <c r="Q73" i="2"/>
  <c r="P73" i="2"/>
  <c r="L73" i="2"/>
  <c r="K73" i="2"/>
  <c r="G73" i="2"/>
  <c r="AY72" i="2"/>
  <c r="AT72" i="2"/>
  <c r="AP72" i="2"/>
  <c r="AP73" i="2" s="1"/>
  <c r="AO72" i="2"/>
  <c r="AJ72" i="2"/>
  <c r="AE72" i="2"/>
  <c r="AA72" i="2"/>
  <c r="AA73" i="2" s="1"/>
  <c r="Z72" i="2"/>
  <c r="U72" i="2"/>
  <c r="P72" i="2"/>
  <c r="K72" i="2"/>
  <c r="AY76" i="2"/>
  <c r="AT76" i="2"/>
  <c r="AO76" i="2"/>
  <c r="AK76" i="2"/>
  <c r="AJ76" i="2"/>
  <c r="AF76" i="2"/>
  <c r="AE76" i="2"/>
  <c r="Z76" i="2"/>
  <c r="V76" i="2"/>
  <c r="U76" i="2"/>
  <c r="Q76" i="2"/>
  <c r="P76" i="2"/>
  <c r="L76" i="2"/>
  <c r="K76" i="2"/>
  <c r="G76" i="2"/>
  <c r="AY75" i="2"/>
  <c r="AT75" i="2"/>
  <c r="AP75" i="2"/>
  <c r="AP76" i="2" s="1"/>
  <c r="AO75" i="2"/>
  <c r="AJ75" i="2"/>
  <c r="AE75" i="2"/>
  <c r="AA75" i="2"/>
  <c r="AA76" i="2" s="1"/>
  <c r="Z75" i="2"/>
  <c r="U75" i="2"/>
  <c r="P75" i="2"/>
  <c r="K75" i="2"/>
  <c r="AY79" i="2"/>
  <c r="AT79" i="2"/>
  <c r="AO79" i="2"/>
  <c r="AK79" i="2"/>
  <c r="AJ79" i="2"/>
  <c r="AF79" i="2"/>
  <c r="AE79" i="2"/>
  <c r="Z79" i="2"/>
  <c r="V79" i="2"/>
  <c r="U79" i="2"/>
  <c r="Q79" i="2"/>
  <c r="P79" i="2"/>
  <c r="L79" i="2"/>
  <c r="K79" i="2"/>
  <c r="G79" i="2"/>
  <c r="AY78" i="2"/>
  <c r="AT78" i="2"/>
  <c r="AP78" i="2"/>
  <c r="AP79" i="2" s="1"/>
  <c r="AO78" i="2"/>
  <c r="AJ78" i="2"/>
  <c r="AE78" i="2"/>
  <c r="AA78" i="2"/>
  <c r="AA79" i="2" s="1"/>
  <c r="Z78" i="2"/>
  <c r="U78" i="2"/>
  <c r="P78" i="2"/>
  <c r="K78" i="2"/>
  <c r="AY88" i="2"/>
  <c r="AT88" i="2"/>
  <c r="AO88" i="2"/>
  <c r="AK88" i="2"/>
  <c r="AJ88" i="2"/>
  <c r="AF88" i="2"/>
  <c r="AE88" i="2"/>
  <c r="Z88" i="2"/>
  <c r="V88" i="2"/>
  <c r="U88" i="2"/>
  <c r="Q88" i="2"/>
  <c r="P88" i="2"/>
  <c r="L88" i="2"/>
  <c r="K88" i="2"/>
  <c r="G88" i="2"/>
  <c r="AY87" i="2"/>
  <c r="AT87" i="2"/>
  <c r="AP87" i="2"/>
  <c r="AP88" i="2" s="1"/>
  <c r="AO87" i="2"/>
  <c r="AJ87" i="2"/>
  <c r="AE87" i="2"/>
  <c r="AA87" i="2"/>
  <c r="AA88" i="2" s="1"/>
  <c r="Z87" i="2"/>
  <c r="U87" i="2"/>
  <c r="P87" i="2"/>
  <c r="K87" i="2"/>
  <c r="AY106" i="2"/>
  <c r="AT106" i="2"/>
  <c r="AO106" i="2"/>
  <c r="AK106" i="2"/>
  <c r="AJ106" i="2"/>
  <c r="AF106" i="2"/>
  <c r="AE106" i="2"/>
  <c r="Z106" i="2"/>
  <c r="V106" i="2"/>
  <c r="U106" i="2"/>
  <c r="Q106" i="2"/>
  <c r="P106" i="2"/>
  <c r="L106" i="2"/>
  <c r="K106" i="2"/>
  <c r="G106" i="2"/>
  <c r="AY105" i="2"/>
  <c r="AT105" i="2"/>
  <c r="AP105" i="2"/>
  <c r="AO105" i="2"/>
  <c r="AJ105" i="2"/>
  <c r="AE105" i="2"/>
  <c r="AA105" i="2"/>
  <c r="AA106" i="2" s="1"/>
  <c r="Z105" i="2"/>
  <c r="U105" i="2"/>
  <c r="P105" i="2"/>
  <c r="K105" i="2"/>
  <c r="AY104" i="2"/>
  <c r="AT104" i="2"/>
  <c r="AP104" i="2"/>
  <c r="AP106" i="2" s="1"/>
  <c r="AO104" i="2"/>
  <c r="AJ104" i="2"/>
  <c r="AE104" i="2"/>
  <c r="AA104" i="2"/>
  <c r="Z104" i="2"/>
  <c r="U104" i="2"/>
  <c r="P104" i="2"/>
  <c r="K104" i="2"/>
  <c r="AY103" i="2"/>
  <c r="AT103" i="2"/>
  <c r="AO103" i="2"/>
  <c r="AK103" i="2"/>
  <c r="AJ103" i="2"/>
  <c r="AF103" i="2"/>
  <c r="AE103" i="2"/>
  <c r="Z103" i="2"/>
  <c r="V103" i="2"/>
  <c r="U103" i="2"/>
  <c r="Q103" i="2"/>
  <c r="P103" i="2"/>
  <c r="L103" i="2"/>
  <c r="K103" i="2"/>
  <c r="G103" i="2"/>
  <c r="AY102" i="2"/>
  <c r="AT102" i="2"/>
  <c r="AP102" i="2"/>
  <c r="AU102" i="2" s="1"/>
  <c r="AO102" i="2"/>
  <c r="AJ102" i="2"/>
  <c r="AE102" i="2"/>
  <c r="AA102" i="2"/>
  <c r="Z102" i="2"/>
  <c r="U102" i="2"/>
  <c r="P102" i="2"/>
  <c r="K102" i="2"/>
  <c r="AY101" i="2"/>
  <c r="AT101" i="2"/>
  <c r="AP101" i="2"/>
  <c r="AO101" i="2"/>
  <c r="AJ101" i="2"/>
  <c r="AE101" i="2"/>
  <c r="AA101" i="2"/>
  <c r="AA103" i="2" s="1"/>
  <c r="Z101" i="2"/>
  <c r="U101" i="2"/>
  <c r="P101" i="2"/>
  <c r="K101" i="2"/>
  <c r="AY100" i="2"/>
  <c r="AT100" i="2"/>
  <c r="AO100" i="2"/>
  <c r="AK100" i="2"/>
  <c r="AJ100" i="2"/>
  <c r="AF100" i="2"/>
  <c r="AE100" i="2"/>
  <c r="Z100" i="2"/>
  <c r="V100" i="2"/>
  <c r="U100" i="2"/>
  <c r="Q100" i="2"/>
  <c r="P100" i="2"/>
  <c r="L100" i="2"/>
  <c r="K100" i="2"/>
  <c r="G100" i="2"/>
  <c r="AY99" i="2"/>
  <c r="AT99" i="2"/>
  <c r="AP99" i="2"/>
  <c r="AU99" i="2" s="1"/>
  <c r="AO99" i="2"/>
  <c r="AJ99" i="2"/>
  <c r="AE99" i="2"/>
  <c r="AA99" i="2"/>
  <c r="Z99" i="2"/>
  <c r="U99" i="2"/>
  <c r="P99" i="2"/>
  <c r="K99" i="2"/>
  <c r="AY98" i="2"/>
  <c r="AT98" i="2"/>
  <c r="AP98" i="2"/>
  <c r="AO98" i="2"/>
  <c r="AJ98" i="2"/>
  <c r="AE98" i="2"/>
  <c r="AA98" i="2"/>
  <c r="AA100" i="2" s="1"/>
  <c r="Z98" i="2"/>
  <c r="U98" i="2"/>
  <c r="P98" i="2"/>
  <c r="K98" i="2"/>
  <c r="AY97" i="2"/>
  <c r="AT97" i="2"/>
  <c r="AO97" i="2"/>
  <c r="AK97" i="2"/>
  <c r="AJ97" i="2"/>
  <c r="AF97" i="2"/>
  <c r="AE97" i="2"/>
  <c r="Z97" i="2"/>
  <c r="V97" i="2"/>
  <c r="U97" i="2"/>
  <c r="Q97" i="2"/>
  <c r="P97" i="2"/>
  <c r="L97" i="2"/>
  <c r="K97" i="2"/>
  <c r="G97" i="2"/>
  <c r="AY96" i="2"/>
  <c r="AT96" i="2"/>
  <c r="AP96" i="2"/>
  <c r="AO96" i="2"/>
  <c r="AJ96" i="2"/>
  <c r="AE96" i="2"/>
  <c r="AA96" i="2"/>
  <c r="Z96" i="2"/>
  <c r="U96" i="2"/>
  <c r="P96" i="2"/>
  <c r="K96" i="2"/>
  <c r="AY95" i="2"/>
  <c r="AT95" i="2"/>
  <c r="AP95" i="2"/>
  <c r="AP97" i="2" s="1"/>
  <c r="AO95" i="2"/>
  <c r="AJ95" i="2"/>
  <c r="AE95" i="2"/>
  <c r="AA95" i="2"/>
  <c r="Z95" i="2"/>
  <c r="U95" i="2"/>
  <c r="P95" i="2"/>
  <c r="K95" i="2"/>
  <c r="AY94" i="2"/>
  <c r="AT94" i="2"/>
  <c r="AO94" i="2"/>
  <c r="AK94" i="2"/>
  <c r="AJ94" i="2"/>
  <c r="AF94" i="2"/>
  <c r="AE94" i="2"/>
  <c r="Z94" i="2"/>
  <c r="V94" i="2"/>
  <c r="U94" i="2"/>
  <c r="Q94" i="2"/>
  <c r="P94" i="2"/>
  <c r="L94" i="2"/>
  <c r="K94" i="2"/>
  <c r="G94" i="2"/>
  <c r="AY93" i="2"/>
  <c r="AT93" i="2"/>
  <c r="AP93" i="2"/>
  <c r="AO93" i="2"/>
  <c r="AJ93" i="2"/>
  <c r="AE93" i="2"/>
  <c r="AA93" i="2"/>
  <c r="Z93" i="2"/>
  <c r="U93" i="2"/>
  <c r="P93" i="2"/>
  <c r="K93" i="2"/>
  <c r="AY92" i="2"/>
  <c r="AT92" i="2"/>
  <c r="AP92" i="2"/>
  <c r="AO92" i="2"/>
  <c r="AJ92" i="2"/>
  <c r="AE92" i="2"/>
  <c r="AA92" i="2"/>
  <c r="AA94" i="2" s="1"/>
  <c r="Z92" i="2"/>
  <c r="U92" i="2"/>
  <c r="P92" i="2"/>
  <c r="K92" i="2"/>
  <c r="AY91" i="2"/>
  <c r="AT91" i="2"/>
  <c r="AO91" i="2"/>
  <c r="AK91" i="2"/>
  <c r="AJ91" i="2"/>
  <c r="AF91" i="2"/>
  <c r="AE91" i="2"/>
  <c r="Z91" i="2"/>
  <c r="V91" i="2"/>
  <c r="U91" i="2"/>
  <c r="Q91" i="2"/>
  <c r="P91" i="2"/>
  <c r="L91" i="2"/>
  <c r="K91" i="2"/>
  <c r="G91" i="2"/>
  <c r="AY90" i="2"/>
  <c r="AT90" i="2"/>
  <c r="AP90" i="2"/>
  <c r="AO90" i="2"/>
  <c r="AJ90" i="2"/>
  <c r="AE90" i="2"/>
  <c r="AA90" i="2"/>
  <c r="Z90" i="2"/>
  <c r="U90" i="2"/>
  <c r="P90" i="2"/>
  <c r="K90" i="2"/>
  <c r="AY89" i="2"/>
  <c r="AT89" i="2"/>
  <c r="AP89" i="2"/>
  <c r="AP91" i="2" s="1"/>
  <c r="AO89" i="2"/>
  <c r="AJ89" i="2"/>
  <c r="AE89" i="2"/>
  <c r="AA89" i="2"/>
  <c r="AA91" i="2" s="1"/>
  <c r="Z89" i="2"/>
  <c r="U89" i="2"/>
  <c r="P89" i="2"/>
  <c r="K89" i="2"/>
  <c r="AY85" i="2"/>
  <c r="AT85" i="2"/>
  <c r="AO85" i="2"/>
  <c r="AK85" i="2"/>
  <c r="AJ85" i="2"/>
  <c r="AF85" i="2"/>
  <c r="AE85" i="2"/>
  <c r="Z85" i="2"/>
  <c r="V85" i="2"/>
  <c r="U85" i="2"/>
  <c r="Q85" i="2"/>
  <c r="P85" i="2"/>
  <c r="L85" i="2"/>
  <c r="K85" i="2"/>
  <c r="G85" i="2"/>
  <c r="AY84" i="2"/>
  <c r="AT84" i="2"/>
  <c r="AP84" i="2"/>
  <c r="AO84" i="2"/>
  <c r="AJ84" i="2"/>
  <c r="AE84" i="2"/>
  <c r="AA84" i="2"/>
  <c r="Z84" i="2"/>
  <c r="U84" i="2"/>
  <c r="P84" i="2"/>
  <c r="K84" i="2"/>
  <c r="AY83" i="2"/>
  <c r="AT83" i="2"/>
  <c r="AP83" i="2"/>
  <c r="AP85" i="2" s="1"/>
  <c r="AO83" i="2"/>
  <c r="AJ83" i="2"/>
  <c r="AE83" i="2"/>
  <c r="AA83" i="2"/>
  <c r="Z83" i="2"/>
  <c r="U83" i="2"/>
  <c r="P83" i="2"/>
  <c r="K83" i="2"/>
  <c r="AY82" i="2"/>
  <c r="AT82" i="2"/>
  <c r="AO82" i="2"/>
  <c r="AK82" i="2"/>
  <c r="AJ82" i="2"/>
  <c r="AF82" i="2"/>
  <c r="AE82" i="2"/>
  <c r="Z82" i="2"/>
  <c r="V82" i="2"/>
  <c r="U82" i="2"/>
  <c r="Q82" i="2"/>
  <c r="P82" i="2"/>
  <c r="L82" i="2"/>
  <c r="K82" i="2"/>
  <c r="G82" i="2"/>
  <c r="AY81" i="2"/>
  <c r="AT81" i="2"/>
  <c r="AP81" i="2"/>
  <c r="AU81" i="2" s="1"/>
  <c r="AO81" i="2"/>
  <c r="AJ81" i="2"/>
  <c r="AE81" i="2"/>
  <c r="AA81" i="2"/>
  <c r="Z81" i="2"/>
  <c r="U81" i="2"/>
  <c r="P81" i="2"/>
  <c r="K81" i="2"/>
  <c r="AY80" i="2"/>
  <c r="AT80" i="2"/>
  <c r="AP80" i="2"/>
  <c r="AO80" i="2"/>
  <c r="AJ80" i="2"/>
  <c r="AE80" i="2"/>
  <c r="AA80" i="2"/>
  <c r="AA82" i="2" s="1"/>
  <c r="Z80" i="2"/>
  <c r="U80" i="2"/>
  <c r="P80" i="2"/>
  <c r="K80" i="2"/>
  <c r="AY67" i="2"/>
  <c r="AT67" i="2"/>
  <c r="AO67" i="2"/>
  <c r="AK67" i="2"/>
  <c r="AJ67" i="2"/>
  <c r="AF67" i="2"/>
  <c r="AE67" i="2"/>
  <c r="Z67" i="2"/>
  <c r="V67" i="2"/>
  <c r="U67" i="2"/>
  <c r="Q67" i="2"/>
  <c r="P67" i="2"/>
  <c r="L67" i="2"/>
  <c r="K67" i="2"/>
  <c r="G67" i="2"/>
  <c r="AY66" i="2"/>
  <c r="AT66" i="2"/>
  <c r="AP66" i="2"/>
  <c r="AU66" i="2" s="1"/>
  <c r="AO66" i="2"/>
  <c r="AJ66" i="2"/>
  <c r="AE66" i="2"/>
  <c r="AA66" i="2"/>
  <c r="Z66" i="2"/>
  <c r="U66" i="2"/>
  <c r="P66" i="2"/>
  <c r="K66" i="2"/>
  <c r="AY65" i="2"/>
  <c r="AT65" i="2"/>
  <c r="AP65" i="2"/>
  <c r="AP67" i="2" s="1"/>
  <c r="AO65" i="2"/>
  <c r="AJ65" i="2"/>
  <c r="AE65" i="2"/>
  <c r="AA65" i="2"/>
  <c r="Z65" i="2"/>
  <c r="U65" i="2"/>
  <c r="P65" i="2"/>
  <c r="K65" i="2"/>
  <c r="AY64" i="2"/>
  <c r="AT64" i="2"/>
  <c r="AO64" i="2"/>
  <c r="AK64" i="2"/>
  <c r="AJ64" i="2"/>
  <c r="AF64" i="2"/>
  <c r="AE64" i="2"/>
  <c r="Z64" i="2"/>
  <c r="V64" i="2"/>
  <c r="U64" i="2"/>
  <c r="Q64" i="2"/>
  <c r="P64" i="2"/>
  <c r="L64" i="2"/>
  <c r="K64" i="2"/>
  <c r="G64" i="2"/>
  <c r="AY63" i="2"/>
  <c r="AT63" i="2"/>
  <c r="AP63" i="2"/>
  <c r="AO63" i="2"/>
  <c r="AJ63" i="2"/>
  <c r="AE63" i="2"/>
  <c r="AA63" i="2"/>
  <c r="Z63" i="2"/>
  <c r="U63" i="2"/>
  <c r="P63" i="2"/>
  <c r="K63" i="2"/>
  <c r="AY62" i="2"/>
  <c r="AT62" i="2"/>
  <c r="AP62" i="2"/>
  <c r="AP64" i="2" s="1"/>
  <c r="AO62" i="2"/>
  <c r="AJ62" i="2"/>
  <c r="AE62" i="2"/>
  <c r="AA62" i="2"/>
  <c r="AU62" i="2" s="1"/>
  <c r="Z62" i="2"/>
  <c r="U62" i="2"/>
  <c r="P62" i="2"/>
  <c r="K62" i="2"/>
  <c r="AY61" i="2"/>
  <c r="AT61" i="2"/>
  <c r="AO61" i="2"/>
  <c r="AK61" i="2"/>
  <c r="AJ61" i="2"/>
  <c r="AF61" i="2"/>
  <c r="AE61" i="2"/>
  <c r="Z61" i="2"/>
  <c r="V61" i="2"/>
  <c r="U61" i="2"/>
  <c r="Q61" i="2"/>
  <c r="P61" i="2"/>
  <c r="L61" i="2"/>
  <c r="K61" i="2"/>
  <c r="G61" i="2"/>
  <c r="AY60" i="2"/>
  <c r="AT60" i="2"/>
  <c r="AP60" i="2"/>
  <c r="AO60" i="2"/>
  <c r="AJ60" i="2"/>
  <c r="AE60" i="2"/>
  <c r="AA60" i="2"/>
  <c r="Z60" i="2"/>
  <c r="U60" i="2"/>
  <c r="P60" i="2"/>
  <c r="K60" i="2"/>
  <c r="AY59" i="2"/>
  <c r="AT59" i="2"/>
  <c r="AP59" i="2"/>
  <c r="AP61" i="2" s="1"/>
  <c r="AO59" i="2"/>
  <c r="AJ59" i="2"/>
  <c r="AE59" i="2"/>
  <c r="AA59" i="2"/>
  <c r="AA61" i="2" s="1"/>
  <c r="Z59" i="2"/>
  <c r="U59" i="2"/>
  <c r="P59" i="2"/>
  <c r="K59" i="2"/>
  <c r="AY52" i="2"/>
  <c r="AT52" i="2"/>
  <c r="AO52" i="2"/>
  <c r="AK52" i="2"/>
  <c r="AJ52" i="2"/>
  <c r="AF52" i="2"/>
  <c r="AE52" i="2"/>
  <c r="Z52" i="2"/>
  <c r="V52" i="2"/>
  <c r="U52" i="2"/>
  <c r="Q52" i="2"/>
  <c r="P52" i="2"/>
  <c r="L52" i="2"/>
  <c r="K52" i="2"/>
  <c r="G52" i="2"/>
  <c r="AY51" i="2"/>
  <c r="AT51" i="2"/>
  <c r="AP51" i="2"/>
  <c r="AO51" i="2"/>
  <c r="AJ51" i="2"/>
  <c r="AE51" i="2"/>
  <c r="AA51" i="2"/>
  <c r="AU51" i="2" s="1"/>
  <c r="Z51" i="2"/>
  <c r="U51" i="2"/>
  <c r="P51" i="2"/>
  <c r="K51" i="2"/>
  <c r="AY50" i="2"/>
  <c r="AT50" i="2"/>
  <c r="AP50" i="2"/>
  <c r="AP52" i="2" s="1"/>
  <c r="AO50" i="2"/>
  <c r="AJ50" i="2"/>
  <c r="AE50" i="2"/>
  <c r="AA50" i="2"/>
  <c r="Z50" i="2"/>
  <c r="U50" i="2"/>
  <c r="P50" i="2"/>
  <c r="K50" i="2"/>
  <c r="AY40" i="2"/>
  <c r="AT40" i="2"/>
  <c r="AO40" i="2"/>
  <c r="AK40" i="2"/>
  <c r="AJ40" i="2"/>
  <c r="AF40" i="2"/>
  <c r="AE40" i="2"/>
  <c r="Z40" i="2"/>
  <c r="V40" i="2"/>
  <c r="U40" i="2"/>
  <c r="Q40" i="2"/>
  <c r="P40" i="2"/>
  <c r="L40" i="2"/>
  <c r="K40" i="2"/>
  <c r="G40" i="2"/>
  <c r="AY39" i="2"/>
  <c r="AT39" i="2"/>
  <c r="AP39" i="2"/>
  <c r="AO39" i="2"/>
  <c r="AJ39" i="2"/>
  <c r="AE39" i="2"/>
  <c r="AA39" i="2"/>
  <c r="Z39" i="2"/>
  <c r="U39" i="2"/>
  <c r="P39" i="2"/>
  <c r="K39" i="2"/>
  <c r="AY38" i="2"/>
  <c r="AT38" i="2"/>
  <c r="AP38" i="2"/>
  <c r="AO38" i="2"/>
  <c r="AJ38" i="2"/>
  <c r="AE38" i="2"/>
  <c r="AA38" i="2"/>
  <c r="AA40" i="2" s="1"/>
  <c r="Z38" i="2"/>
  <c r="U38" i="2"/>
  <c r="P38" i="2"/>
  <c r="K38" i="2"/>
  <c r="AY28" i="2"/>
  <c r="AT28" i="2"/>
  <c r="AO28" i="2"/>
  <c r="AK28" i="2"/>
  <c r="AJ28" i="2"/>
  <c r="AF28" i="2"/>
  <c r="AE28" i="2"/>
  <c r="Z28" i="2"/>
  <c r="V28" i="2"/>
  <c r="U28" i="2"/>
  <c r="Q28" i="2"/>
  <c r="P28" i="2"/>
  <c r="L28" i="2"/>
  <c r="K28" i="2"/>
  <c r="G28" i="2"/>
  <c r="AY27" i="2"/>
  <c r="AT27" i="2"/>
  <c r="AP27" i="2"/>
  <c r="AP28" i="2" s="1"/>
  <c r="AO27" i="2"/>
  <c r="AJ27" i="2"/>
  <c r="AE27" i="2"/>
  <c r="AA27" i="2"/>
  <c r="AU27" i="2" s="1"/>
  <c r="Z27" i="2"/>
  <c r="U27" i="2"/>
  <c r="P27" i="2"/>
  <c r="K27" i="2"/>
  <c r="AY26" i="2"/>
  <c r="AT26" i="2"/>
  <c r="AP26" i="2"/>
  <c r="AO26" i="2"/>
  <c r="AJ26" i="2"/>
  <c r="AE26" i="2"/>
  <c r="AA26" i="2"/>
  <c r="AA28" i="2" s="1"/>
  <c r="Z26" i="2"/>
  <c r="U26" i="2"/>
  <c r="P26" i="2"/>
  <c r="K26" i="2"/>
  <c r="AY25" i="2"/>
  <c r="AT25" i="2"/>
  <c r="AO25" i="2"/>
  <c r="AK25" i="2"/>
  <c r="AJ25" i="2"/>
  <c r="AF25" i="2"/>
  <c r="AE25" i="2"/>
  <c r="Z25" i="2"/>
  <c r="V25" i="2"/>
  <c r="U25" i="2"/>
  <c r="Q25" i="2"/>
  <c r="P25" i="2"/>
  <c r="L25" i="2"/>
  <c r="K25" i="2"/>
  <c r="G25" i="2"/>
  <c r="AY24" i="2"/>
  <c r="AT24" i="2"/>
  <c r="AP24" i="2"/>
  <c r="AO24" i="2"/>
  <c r="AJ24" i="2"/>
  <c r="AE24" i="2"/>
  <c r="AA24" i="2"/>
  <c r="Z24" i="2"/>
  <c r="U24" i="2"/>
  <c r="P24" i="2"/>
  <c r="K24" i="2"/>
  <c r="AY23" i="2"/>
  <c r="AT23" i="2"/>
  <c r="AP23" i="2"/>
  <c r="AP25" i="2" s="1"/>
  <c r="AO23" i="2"/>
  <c r="AJ23" i="2"/>
  <c r="AE23" i="2"/>
  <c r="AA23" i="2"/>
  <c r="Z23" i="2"/>
  <c r="U23" i="2"/>
  <c r="P23" i="2"/>
  <c r="K23" i="2"/>
  <c r="AY22" i="2"/>
  <c r="AT22" i="2"/>
  <c r="AO22" i="2"/>
  <c r="AK22" i="2"/>
  <c r="AJ22" i="2"/>
  <c r="AF22" i="2"/>
  <c r="AE22" i="2"/>
  <c r="Z22" i="2"/>
  <c r="V22" i="2"/>
  <c r="U22" i="2"/>
  <c r="Q22" i="2"/>
  <c r="P22" i="2"/>
  <c r="L22" i="2"/>
  <c r="K22" i="2"/>
  <c r="G22" i="2"/>
  <c r="AY21" i="2"/>
  <c r="AT21" i="2"/>
  <c r="AP21" i="2"/>
  <c r="AO21" i="2"/>
  <c r="AJ21" i="2"/>
  <c r="AE21" i="2"/>
  <c r="AA21" i="2"/>
  <c r="AA22" i="2" s="1"/>
  <c r="Z21" i="2"/>
  <c r="U21" i="2"/>
  <c r="P21" i="2"/>
  <c r="K21" i="2"/>
  <c r="AY20" i="2"/>
  <c r="AT20" i="2"/>
  <c r="AP20" i="2"/>
  <c r="AO20" i="2"/>
  <c r="AJ20" i="2"/>
  <c r="AE20" i="2"/>
  <c r="AA20" i="2"/>
  <c r="Z20" i="2"/>
  <c r="U20" i="2"/>
  <c r="P20" i="2"/>
  <c r="K20" i="2"/>
  <c r="AY19" i="2"/>
  <c r="AT19" i="2"/>
  <c r="AO19" i="2"/>
  <c r="AK19" i="2"/>
  <c r="AJ19" i="2"/>
  <c r="AF19" i="2"/>
  <c r="AE19" i="2"/>
  <c r="Z19" i="2"/>
  <c r="V19" i="2"/>
  <c r="U19" i="2"/>
  <c r="Q19" i="2"/>
  <c r="P19" i="2"/>
  <c r="L19" i="2"/>
  <c r="K19" i="2"/>
  <c r="G19" i="2"/>
  <c r="AY18" i="2"/>
  <c r="AT18" i="2"/>
  <c r="AP18" i="2"/>
  <c r="AO18" i="2"/>
  <c r="AJ18" i="2"/>
  <c r="AE18" i="2"/>
  <c r="AA18" i="2"/>
  <c r="Z18" i="2"/>
  <c r="U18" i="2"/>
  <c r="P18" i="2"/>
  <c r="K18" i="2"/>
  <c r="AY17" i="2"/>
  <c r="AT17" i="2"/>
  <c r="AP17" i="2"/>
  <c r="AO17" i="2"/>
  <c r="AJ17" i="2"/>
  <c r="AE17" i="2"/>
  <c r="AA17" i="2"/>
  <c r="AU17" i="2" s="1"/>
  <c r="Z17" i="2"/>
  <c r="U17" i="2"/>
  <c r="P17" i="2"/>
  <c r="K17" i="2"/>
  <c r="AY118" i="2"/>
  <c r="AY117" i="2"/>
  <c r="AY116" i="2"/>
  <c r="AY115" i="2"/>
  <c r="AY114" i="2"/>
  <c r="AY113" i="2"/>
  <c r="AY112" i="2"/>
  <c r="AY111" i="2"/>
  <c r="AY110" i="2"/>
  <c r="AY109" i="2"/>
  <c r="AY108" i="2"/>
  <c r="AY107" i="2"/>
  <c r="AT118" i="2"/>
  <c r="AT117" i="2"/>
  <c r="AT116" i="2"/>
  <c r="AT115" i="2"/>
  <c r="AT114" i="2"/>
  <c r="AT113" i="2"/>
  <c r="AT112" i="2"/>
  <c r="AT111" i="2"/>
  <c r="AT110" i="2"/>
  <c r="AT109" i="2"/>
  <c r="AT108" i="2"/>
  <c r="AT107" i="2"/>
  <c r="AO118" i="2"/>
  <c r="AO117" i="2"/>
  <c r="AO116" i="2"/>
  <c r="AO115" i="2"/>
  <c r="AO114" i="2"/>
  <c r="AO113" i="2"/>
  <c r="AO112" i="2"/>
  <c r="AO111" i="2"/>
  <c r="AO110" i="2"/>
  <c r="AO109" i="2"/>
  <c r="AO108" i="2"/>
  <c r="AO107" i="2"/>
  <c r="AJ118" i="2"/>
  <c r="AJ117" i="2"/>
  <c r="AJ116" i="2"/>
  <c r="AJ115" i="2"/>
  <c r="AJ114" i="2"/>
  <c r="AJ113" i="2"/>
  <c r="AJ112" i="2"/>
  <c r="AJ111" i="2"/>
  <c r="AJ110" i="2"/>
  <c r="AJ109" i="2"/>
  <c r="AJ108" i="2"/>
  <c r="AJ107" i="2"/>
  <c r="AE118" i="2"/>
  <c r="AE117" i="2"/>
  <c r="AE116" i="2"/>
  <c r="AE115" i="2"/>
  <c r="AE114" i="2"/>
  <c r="AE113" i="2"/>
  <c r="AE112" i="2"/>
  <c r="AE111" i="2"/>
  <c r="AE110" i="2"/>
  <c r="AE109" i="2"/>
  <c r="AE108" i="2"/>
  <c r="AE107" i="2"/>
  <c r="Z118" i="2"/>
  <c r="Z117" i="2"/>
  <c r="Z116" i="2"/>
  <c r="Z115" i="2"/>
  <c r="Z114" i="2"/>
  <c r="Z113" i="2"/>
  <c r="Z112" i="2"/>
  <c r="Z111" i="2"/>
  <c r="Z110" i="2"/>
  <c r="Z109" i="2"/>
  <c r="Z108" i="2"/>
  <c r="Z107" i="2"/>
  <c r="U118" i="2"/>
  <c r="U117" i="2"/>
  <c r="U116" i="2"/>
  <c r="U115" i="2"/>
  <c r="U114" i="2"/>
  <c r="U113" i="2"/>
  <c r="U112" i="2"/>
  <c r="U111" i="2"/>
  <c r="U110" i="2"/>
  <c r="U109" i="2"/>
  <c r="U108" i="2"/>
  <c r="U107" i="2"/>
  <c r="P118" i="2"/>
  <c r="P117" i="2"/>
  <c r="P116" i="2"/>
  <c r="P115" i="2"/>
  <c r="P114" i="2"/>
  <c r="P113" i="2"/>
  <c r="P112" i="2"/>
  <c r="P111" i="2"/>
  <c r="P110" i="2"/>
  <c r="P109" i="2"/>
  <c r="P108" i="2"/>
  <c r="P107" i="2"/>
  <c r="K118" i="2"/>
  <c r="K117" i="2"/>
  <c r="K116" i="2"/>
  <c r="K115" i="2"/>
  <c r="K114" i="2"/>
  <c r="K113" i="2"/>
  <c r="K112" i="2"/>
  <c r="K111" i="2"/>
  <c r="K110" i="2"/>
  <c r="K109" i="2"/>
  <c r="K108" i="2"/>
  <c r="K107" i="2"/>
  <c r="AY58" i="2"/>
  <c r="AT58" i="2"/>
  <c r="AO58" i="2"/>
  <c r="AK58" i="2"/>
  <c r="AJ58" i="2"/>
  <c r="AF58" i="2"/>
  <c r="AE58" i="2"/>
  <c r="Z58" i="2"/>
  <c r="V58" i="2"/>
  <c r="U58" i="2"/>
  <c r="Q58" i="2"/>
  <c r="P58" i="2"/>
  <c r="L58" i="2"/>
  <c r="K58" i="2"/>
  <c r="G58" i="2"/>
  <c r="AY56" i="2"/>
  <c r="AT56" i="2"/>
  <c r="AP56" i="2"/>
  <c r="AP58" i="2" s="1"/>
  <c r="AO56" i="2"/>
  <c r="AJ56" i="2"/>
  <c r="AE56" i="2"/>
  <c r="AA56" i="2"/>
  <c r="AA58" i="2" s="1"/>
  <c r="Z56" i="2"/>
  <c r="U56" i="2"/>
  <c r="P56" i="2"/>
  <c r="K56" i="2"/>
  <c r="AY16" i="2"/>
  <c r="AT16" i="2"/>
  <c r="AO16" i="2"/>
  <c r="AK16" i="2"/>
  <c r="AJ16" i="2"/>
  <c r="AF16" i="2"/>
  <c r="AE16" i="2"/>
  <c r="Z16" i="2"/>
  <c r="V16" i="2"/>
  <c r="U16" i="2"/>
  <c r="Q16" i="2"/>
  <c r="P16" i="2"/>
  <c r="L16" i="2"/>
  <c r="K16" i="2"/>
  <c r="G16" i="2"/>
  <c r="AY14" i="2"/>
  <c r="AT14" i="2"/>
  <c r="AP14" i="2"/>
  <c r="AP16" i="2" s="1"/>
  <c r="AO14" i="2"/>
  <c r="AJ14" i="2"/>
  <c r="AE14" i="2"/>
  <c r="AA14" i="2"/>
  <c r="AA16" i="2" s="1"/>
  <c r="Z14" i="2"/>
  <c r="U14" i="2"/>
  <c r="P14" i="2"/>
  <c r="K14" i="2"/>
  <c r="AY12" i="2"/>
  <c r="AT12" i="2"/>
  <c r="AP12" i="2"/>
  <c r="AO12" i="2"/>
  <c r="AJ12" i="2"/>
  <c r="AE12" i="2"/>
  <c r="AA12" i="2"/>
  <c r="Z12" i="2"/>
  <c r="U12" i="2"/>
  <c r="P12" i="2"/>
  <c r="K12" i="2"/>
  <c r="AY13" i="2"/>
  <c r="AT13" i="2"/>
  <c r="AO13" i="2"/>
  <c r="AK13" i="2"/>
  <c r="AJ13" i="2"/>
  <c r="AF13" i="2"/>
  <c r="AE13" i="2"/>
  <c r="Z13" i="2"/>
  <c r="V13" i="2"/>
  <c r="U13" i="2"/>
  <c r="Q13" i="2"/>
  <c r="P13" i="2"/>
  <c r="L13" i="2"/>
  <c r="K13" i="2"/>
  <c r="G13" i="2"/>
  <c r="AY11" i="2"/>
  <c r="AT11" i="2"/>
  <c r="AP11" i="2"/>
  <c r="AU11" i="2" s="1"/>
  <c r="AO11" i="2"/>
  <c r="AJ11" i="2"/>
  <c r="AE11" i="2"/>
  <c r="AA11" i="2"/>
  <c r="Z11" i="2"/>
  <c r="U11" i="2"/>
  <c r="P11" i="2"/>
  <c r="K11" i="2"/>
  <c r="AY10" i="2"/>
  <c r="AY8" i="2"/>
  <c r="AT10" i="2"/>
  <c r="AT8" i="2"/>
  <c r="AO10" i="2"/>
  <c r="AO8" i="2"/>
  <c r="AJ10" i="2"/>
  <c r="AJ8" i="2"/>
  <c r="AE10" i="2"/>
  <c r="AE8" i="2"/>
  <c r="Z10" i="2"/>
  <c r="Z8" i="2"/>
  <c r="U10" i="2"/>
  <c r="U8" i="2"/>
  <c r="P10" i="2"/>
  <c r="P8" i="2"/>
  <c r="K10" i="2"/>
  <c r="K8" i="2"/>
  <c r="AU25" i="34" l="1"/>
  <c r="AU23" i="2"/>
  <c r="AA64" i="2"/>
  <c r="AU84" i="2"/>
  <c r="AU96" i="2"/>
  <c r="AP115" i="33"/>
  <c r="AU13" i="34"/>
  <c r="AA19" i="2"/>
  <c r="AP40" i="2"/>
  <c r="AU39" i="2"/>
  <c r="AA67" i="2"/>
  <c r="AU113" i="33"/>
  <c r="AU117" i="34"/>
  <c r="AP19" i="2"/>
  <c r="AA13" i="2"/>
  <c r="AA25" i="2"/>
  <c r="AU26" i="2"/>
  <c r="AU28" i="2" s="1"/>
  <c r="AU38" i="2"/>
  <c r="AU40" i="2" s="1"/>
  <c r="AA52" i="2"/>
  <c r="AU60" i="2"/>
  <c r="AP82" i="2"/>
  <c r="AP94" i="2"/>
  <c r="AU93" i="2"/>
  <c r="AP103" i="2"/>
  <c r="AP13" i="2"/>
  <c r="AA118" i="33"/>
  <c r="AU80" i="2"/>
  <c r="AA85" i="2"/>
  <c r="AU90" i="2"/>
  <c r="AU92" i="2"/>
  <c r="AA97" i="2"/>
  <c r="AU101" i="2"/>
  <c r="AU103" i="2" s="1"/>
  <c r="AU104" i="2"/>
  <c r="AA109" i="33"/>
  <c r="AU111" i="34"/>
  <c r="AP22" i="2"/>
  <c r="AU107" i="33"/>
  <c r="AU85" i="34"/>
  <c r="AP115" i="34"/>
  <c r="AP118" i="34"/>
  <c r="AP109" i="34"/>
  <c r="AU114" i="34"/>
  <c r="AU112" i="34"/>
  <c r="AU10" i="34"/>
  <c r="AU113" i="34"/>
  <c r="AU116" i="34"/>
  <c r="AU107" i="34"/>
  <c r="AA118" i="34"/>
  <c r="AA109" i="34"/>
  <c r="AA115" i="34"/>
  <c r="AU108" i="34"/>
  <c r="AP109" i="33"/>
  <c r="AA115" i="33"/>
  <c r="AU110" i="33"/>
  <c r="AU25" i="33"/>
  <c r="AU112" i="33" s="1"/>
  <c r="AP118" i="33"/>
  <c r="AU116" i="33"/>
  <c r="AU114" i="33"/>
  <c r="AU117" i="33"/>
  <c r="AU108" i="33"/>
  <c r="AU13" i="33"/>
  <c r="AU30" i="2"/>
  <c r="AU31" i="2" s="1"/>
  <c r="AU33" i="2"/>
  <c r="AU34" i="2" s="1"/>
  <c r="AU36" i="2"/>
  <c r="AU37" i="2" s="1"/>
  <c r="AU42" i="2"/>
  <c r="AU43" i="2" s="1"/>
  <c r="AU45" i="2"/>
  <c r="AU46" i="2" s="1"/>
  <c r="AU48" i="2"/>
  <c r="AU49" i="2" s="1"/>
  <c r="AU54" i="2"/>
  <c r="AU55" i="2" s="1"/>
  <c r="AU69" i="2"/>
  <c r="AU70" i="2" s="1"/>
  <c r="AU72" i="2"/>
  <c r="AU73" i="2" s="1"/>
  <c r="AU75" i="2"/>
  <c r="AU76" i="2" s="1"/>
  <c r="AU78" i="2"/>
  <c r="AU79" i="2" s="1"/>
  <c r="AU87" i="2"/>
  <c r="AU88" i="2" s="1"/>
  <c r="AU105" i="2"/>
  <c r="AU106" i="2" s="1"/>
  <c r="AU98" i="2"/>
  <c r="AU100" i="2" s="1"/>
  <c r="AP100" i="2"/>
  <c r="AU95" i="2"/>
  <c r="AU97" i="2" s="1"/>
  <c r="AU94" i="2"/>
  <c r="AU89" i="2"/>
  <c r="AU91" i="2" s="1"/>
  <c r="AU83" i="2"/>
  <c r="AU85" i="2" s="1"/>
  <c r="AU82" i="2"/>
  <c r="AU65" i="2"/>
  <c r="AU67" i="2" s="1"/>
  <c r="AU63" i="2"/>
  <c r="AU64" i="2" s="1"/>
  <c r="AU59" i="2"/>
  <c r="AU61" i="2" s="1"/>
  <c r="AU50" i="2"/>
  <c r="AU52" i="2" s="1"/>
  <c r="AU24" i="2"/>
  <c r="AU25" i="2" s="1"/>
  <c r="AU20" i="2"/>
  <c r="AU22" i="2" s="1"/>
  <c r="AU21" i="2"/>
  <c r="AU18" i="2"/>
  <c r="AU19" i="2" s="1"/>
  <c r="AU56" i="2"/>
  <c r="AU58" i="2" s="1"/>
  <c r="AU14" i="2"/>
  <c r="AU16" i="2" s="1"/>
  <c r="AU12" i="2"/>
  <c r="AU13" i="2" s="1"/>
  <c r="AU118" i="34" l="1"/>
  <c r="AU109" i="34"/>
  <c r="AU115" i="34"/>
  <c r="AU118" i="33"/>
  <c r="AU109" i="33"/>
  <c r="AU115" i="33"/>
  <c r="D4" i="2"/>
  <c r="D3" i="2"/>
  <c r="D5" i="28"/>
  <c r="D4" i="28"/>
  <c r="E3" i="28"/>
  <c r="C12" i="27"/>
  <c r="C11" i="27"/>
  <c r="G9" i="27"/>
  <c r="C5" i="27"/>
  <c r="C4" i="27"/>
  <c r="G3" i="27"/>
  <c r="C5" i="26"/>
  <c r="C4" i="26"/>
  <c r="F3" i="26"/>
  <c r="C27" i="25"/>
  <c r="C20" i="25"/>
  <c r="C5" i="25"/>
  <c r="C4" i="25"/>
  <c r="F3" i="25"/>
  <c r="C78" i="24"/>
  <c r="C73" i="24"/>
  <c r="D32" i="24"/>
  <c r="D30" i="24"/>
  <c r="D29" i="24"/>
  <c r="D28" i="24"/>
  <c r="D25" i="24"/>
  <c r="D24" i="24"/>
  <c r="C5" i="24"/>
  <c r="C4" i="24"/>
  <c r="F3" i="24"/>
  <c r="C5" i="23"/>
  <c r="C4" i="23"/>
  <c r="E3" i="23"/>
  <c r="C9" i="22"/>
  <c r="C8" i="22"/>
  <c r="C7" i="22"/>
  <c r="C6" i="22"/>
  <c r="C5" i="22"/>
  <c r="C3" i="22"/>
  <c r="F3" i="2" l="1"/>
  <c r="F3" i="34"/>
  <c r="F3" i="33"/>
  <c r="D8" i="28"/>
  <c r="AK117" i="2" l="1"/>
  <c r="AK116" i="2"/>
  <c r="AK114" i="2"/>
  <c r="AK113" i="2"/>
  <c r="AK111" i="2"/>
  <c r="AK110" i="2"/>
  <c r="AK108" i="2"/>
  <c r="AK107" i="2"/>
  <c r="AK10" i="2"/>
  <c r="AF117" i="2"/>
  <c r="AF116" i="2"/>
  <c r="AF114" i="2"/>
  <c r="AF113" i="2"/>
  <c r="AF111" i="2"/>
  <c r="AF110" i="2"/>
  <c r="AF108" i="2"/>
  <c r="AF107" i="2"/>
  <c r="AF10" i="2"/>
  <c r="V117" i="2"/>
  <c r="V116" i="2"/>
  <c r="V114" i="2"/>
  <c r="V113" i="2"/>
  <c r="V111" i="2"/>
  <c r="V110" i="2"/>
  <c r="V108" i="2"/>
  <c r="V107" i="2"/>
  <c r="V10" i="2"/>
  <c r="Q117" i="2"/>
  <c r="Q116" i="2"/>
  <c r="Q114" i="2"/>
  <c r="Q113" i="2"/>
  <c r="Q111" i="2"/>
  <c r="Q110" i="2"/>
  <c r="Q108" i="2"/>
  <c r="Q107" i="2"/>
  <c r="Q10" i="2"/>
  <c r="Q112" i="2" l="1"/>
  <c r="V112" i="2"/>
  <c r="AF112" i="2"/>
  <c r="AK112" i="2"/>
  <c r="AF118" i="2"/>
  <c r="Q115" i="2"/>
  <c r="V118" i="2"/>
  <c r="V109" i="2"/>
  <c r="Q109" i="2"/>
  <c r="AK115" i="2"/>
  <c r="AK109" i="2"/>
  <c r="AK118" i="2"/>
  <c r="AF115" i="2"/>
  <c r="AF109" i="2"/>
  <c r="V115" i="2"/>
  <c r="Q118" i="2"/>
  <c r="L117" i="2" l="1"/>
  <c r="L116" i="2"/>
  <c r="L114" i="2"/>
  <c r="L113" i="2"/>
  <c r="L111" i="2"/>
  <c r="L110" i="2"/>
  <c r="L108" i="2"/>
  <c r="L107" i="2"/>
  <c r="L10" i="2"/>
  <c r="L112" i="2" l="1"/>
  <c r="L118" i="2"/>
  <c r="L109" i="2"/>
  <c r="L115" i="2"/>
  <c r="G117" i="2" l="1"/>
  <c r="G116" i="2"/>
  <c r="G114" i="2"/>
  <c r="G113" i="2"/>
  <c r="G111" i="2"/>
  <c r="G110" i="2"/>
  <c r="G108" i="2"/>
  <c r="G107" i="2"/>
  <c r="G10" i="2" l="1"/>
  <c r="AP8" i="2" l="1"/>
  <c r="AA8" i="2"/>
  <c r="AP111" i="2" l="1"/>
  <c r="AU8" i="2"/>
  <c r="AU10" i="2" s="1"/>
  <c r="AP113" i="2"/>
  <c r="AP116" i="2"/>
  <c r="AP107" i="2"/>
  <c r="AP10" i="2"/>
  <c r="AP110" i="2"/>
  <c r="AP114" i="2"/>
  <c r="AP117" i="2"/>
  <c r="AP108" i="2"/>
  <c r="AA107" i="2"/>
  <c r="AA10" i="2"/>
  <c r="AA116" i="2"/>
  <c r="AA113" i="2"/>
  <c r="AA110" i="2"/>
  <c r="AA108" i="2"/>
  <c r="AA114" i="2"/>
  <c r="AA117" i="2"/>
  <c r="AA111" i="2"/>
  <c r="AP118" i="2" l="1"/>
  <c r="AP109" i="2"/>
  <c r="AP115" i="2"/>
  <c r="AP112" i="2"/>
  <c r="AU111" i="2"/>
  <c r="AA115" i="2"/>
  <c r="AA118" i="2"/>
  <c r="AA109" i="2"/>
  <c r="AA112" i="2"/>
  <c r="AU114" i="2"/>
  <c r="AU117" i="2"/>
  <c r="AU108" i="2"/>
  <c r="AU113" i="2"/>
  <c r="AU110" i="2"/>
  <c r="AU116" i="2"/>
  <c r="AU107" i="2"/>
  <c r="AU115" i="2" l="1"/>
  <c r="AU112" i="2"/>
  <c r="AU118" i="2"/>
  <c r="AU109" i="2"/>
  <c r="G109" i="2" l="1"/>
  <c r="G115" i="2"/>
  <c r="G118" i="2"/>
  <c r="G112" i="2"/>
</calcChain>
</file>

<file path=xl/sharedStrings.xml><?xml version="1.0" encoding="utf-8"?>
<sst xmlns="http://schemas.openxmlformats.org/spreadsheetml/2006/main" count="2398" uniqueCount="625">
  <si>
    <t>E</t>
  </si>
  <si>
    <t>Country:</t>
  </si>
  <si>
    <t>Code</t>
  </si>
  <si>
    <t>Description</t>
  </si>
  <si>
    <t>AL</t>
  </si>
  <si>
    <t>Albania</t>
  </si>
  <si>
    <t>AT</t>
  </si>
  <si>
    <t>Austria</t>
  </si>
  <si>
    <t>BA</t>
  </si>
  <si>
    <t>Bosnia and Herzegovina</t>
  </si>
  <si>
    <t>BE</t>
  </si>
  <si>
    <t>Belgium</t>
  </si>
  <si>
    <t>BG</t>
  </si>
  <si>
    <t>Bulgaria</t>
  </si>
  <si>
    <t>CH</t>
  </si>
  <si>
    <t>Switzerland</t>
  </si>
  <si>
    <t>CY</t>
  </si>
  <si>
    <t>Cyprus</t>
  </si>
  <si>
    <t>CZ</t>
  </si>
  <si>
    <t>DE</t>
  </si>
  <si>
    <t>Germany</t>
  </si>
  <si>
    <t>DK</t>
  </si>
  <si>
    <t>Denmark</t>
  </si>
  <si>
    <t>EE</t>
  </si>
  <si>
    <t>Estonia</t>
  </si>
  <si>
    <t>EL</t>
  </si>
  <si>
    <t>Greece</t>
  </si>
  <si>
    <t>ES</t>
  </si>
  <si>
    <t>Spain</t>
  </si>
  <si>
    <t>FI</t>
  </si>
  <si>
    <t>Finland</t>
  </si>
  <si>
    <t>FR</t>
  </si>
  <si>
    <t>France</t>
  </si>
  <si>
    <t>HR</t>
  </si>
  <si>
    <t>Croatia</t>
  </si>
  <si>
    <t>HU</t>
  </si>
  <si>
    <t>Hungary</t>
  </si>
  <si>
    <t>IE</t>
  </si>
  <si>
    <t>Ireland</t>
  </si>
  <si>
    <t>IS</t>
  </si>
  <si>
    <t>Iceland</t>
  </si>
  <si>
    <t>IT</t>
  </si>
  <si>
    <t>Italy</t>
  </si>
  <si>
    <t>LI</t>
  </si>
  <si>
    <t>Liechtenstein</t>
  </si>
  <si>
    <t>LT</t>
  </si>
  <si>
    <t>Lithuania</t>
  </si>
  <si>
    <t>LU</t>
  </si>
  <si>
    <t>Luxembourg</t>
  </si>
  <si>
    <t>LV</t>
  </si>
  <si>
    <t>Latvia</t>
  </si>
  <si>
    <t>ME</t>
  </si>
  <si>
    <t>Montenegro</t>
  </si>
  <si>
    <t>MK</t>
  </si>
  <si>
    <t>MT</t>
  </si>
  <si>
    <t>Malta</t>
  </si>
  <si>
    <t>NL</t>
  </si>
  <si>
    <t>NO</t>
  </si>
  <si>
    <t>Norway</t>
  </si>
  <si>
    <t>PL</t>
  </si>
  <si>
    <t>Poland</t>
  </si>
  <si>
    <t>PT</t>
  </si>
  <si>
    <t>Portugal</t>
  </si>
  <si>
    <t>RO</t>
  </si>
  <si>
    <t>Romania</t>
  </si>
  <si>
    <t>RS</t>
  </si>
  <si>
    <t>Serbia</t>
  </si>
  <si>
    <t>SE</t>
  </si>
  <si>
    <t>Sweden</t>
  </si>
  <si>
    <t>SI</t>
  </si>
  <si>
    <t>Slovenia</t>
  </si>
  <si>
    <t>SK</t>
  </si>
  <si>
    <t>Slovakia</t>
  </si>
  <si>
    <t>TR</t>
  </si>
  <si>
    <t>Turkey</t>
  </si>
  <si>
    <t>UK</t>
  </si>
  <si>
    <t>United Kingdom</t>
  </si>
  <si>
    <t>XK</t>
  </si>
  <si>
    <t xml:space="preserve">Spent solvents </t>
  </si>
  <si>
    <t xml:space="preserve">Acid, alkaline or saline wastes </t>
  </si>
  <si>
    <t xml:space="preserve">Used oils </t>
  </si>
  <si>
    <t xml:space="preserve">Chemical wastes </t>
  </si>
  <si>
    <t xml:space="preserve">Industrial effluent sludges </t>
  </si>
  <si>
    <t xml:space="preserve">Health care and biological wastes </t>
  </si>
  <si>
    <t xml:space="preserve">Metallic wastes, ferrous </t>
  </si>
  <si>
    <t xml:space="preserve">Metallic wastes, non-ferrous </t>
  </si>
  <si>
    <t xml:space="preserve">Glass wastes </t>
  </si>
  <si>
    <t xml:space="preserve">Paper and cardboard wastes </t>
  </si>
  <si>
    <t xml:space="preserve">Rubber wastes </t>
  </si>
  <si>
    <t xml:space="preserve">Plastic wastes </t>
  </si>
  <si>
    <t xml:space="preserve">Wood wastes </t>
  </si>
  <si>
    <t xml:space="preserve">Textile wastes </t>
  </si>
  <si>
    <t xml:space="preserve">Waste containing PCB </t>
  </si>
  <si>
    <t xml:space="preserve">Discarded vehicles </t>
  </si>
  <si>
    <t xml:space="preserve">Batteries and accumulators wastes </t>
  </si>
  <si>
    <t xml:space="preserve">Animal and mixed food waste </t>
  </si>
  <si>
    <t xml:space="preserve">Vegetal wastes </t>
  </si>
  <si>
    <t xml:space="preserve">Animal faeces, urine and manure </t>
  </si>
  <si>
    <t xml:space="preserve">Household and similar wastes </t>
  </si>
  <si>
    <t xml:space="preserve">Mixed and undifferentiated materials </t>
  </si>
  <si>
    <t xml:space="preserve">Sorting residues </t>
  </si>
  <si>
    <t xml:space="preserve">Common sludges </t>
  </si>
  <si>
    <t xml:space="preserve">Combustion wastes </t>
  </si>
  <si>
    <t xml:space="preserve">Soils </t>
  </si>
  <si>
    <t xml:space="preserve">Dredging spoils </t>
  </si>
  <si>
    <t xml:space="preserve">Total Waste </t>
  </si>
  <si>
    <t>P</t>
  </si>
  <si>
    <t>Provisional</t>
  </si>
  <si>
    <t>C</t>
  </si>
  <si>
    <t>D</t>
  </si>
  <si>
    <t>W011</t>
  </si>
  <si>
    <t>W012</t>
  </si>
  <si>
    <t>W013</t>
  </si>
  <si>
    <t>W02A</t>
  </si>
  <si>
    <t>W032</t>
  </si>
  <si>
    <t>W033</t>
  </si>
  <si>
    <t>W05</t>
  </si>
  <si>
    <t>W061</t>
  </si>
  <si>
    <t>W062</t>
  </si>
  <si>
    <t>W063</t>
  </si>
  <si>
    <t>W071</t>
  </si>
  <si>
    <t>W072</t>
  </si>
  <si>
    <t>W073</t>
  </si>
  <si>
    <t>W074</t>
  </si>
  <si>
    <t>W075</t>
  </si>
  <si>
    <t>W076</t>
  </si>
  <si>
    <t>W077</t>
  </si>
  <si>
    <t>W08A</t>
  </si>
  <si>
    <t>W081</t>
  </si>
  <si>
    <t>W0841</t>
  </si>
  <si>
    <t>W091</t>
  </si>
  <si>
    <t>W092</t>
  </si>
  <si>
    <t>W093</t>
  </si>
  <si>
    <t>W101</t>
  </si>
  <si>
    <t>W102</t>
  </si>
  <si>
    <t>W103</t>
  </si>
  <si>
    <t>W11</t>
  </si>
  <si>
    <t>W121</t>
  </si>
  <si>
    <t>W12B</t>
  </si>
  <si>
    <t>W124</t>
  </si>
  <si>
    <t>W126</t>
  </si>
  <si>
    <t>W127</t>
  </si>
  <si>
    <t>W128_13</t>
  </si>
  <si>
    <t>TOTAL</t>
  </si>
  <si>
    <t>HAZ</t>
  </si>
  <si>
    <t>NHAZ</t>
  </si>
  <si>
    <t>HAZ_NHAZ</t>
  </si>
  <si>
    <t>Waste treatment</t>
  </si>
  <si>
    <t>RCV_E</t>
  </si>
  <si>
    <t>RCV_B</t>
  </si>
  <si>
    <t>TRT</t>
  </si>
  <si>
    <t xml:space="preserve">Hazardous </t>
  </si>
  <si>
    <t>Non-hazardous</t>
  </si>
  <si>
    <t>DSP_I</t>
  </si>
  <si>
    <t>RCV_R</t>
  </si>
  <si>
    <t>DSP_L</t>
  </si>
  <si>
    <t>DSP_OTH</t>
  </si>
  <si>
    <t>Sludges and liquid wastes from waste treatment</t>
  </si>
  <si>
    <t>Metal wastes, mixed ferrous and non-ferrous</t>
  </si>
  <si>
    <t>Discarded equipment (except discarded vehicles and batteries and accumulators waste) (W08 except W081, W0841)</t>
  </si>
  <si>
    <t>Mineral waste from construction and demolition</t>
  </si>
  <si>
    <t>Other mineral wastes (W122+W123+W125)</t>
  </si>
  <si>
    <t>Mineral wastes from waste treatment and stabilised wastes</t>
  </si>
  <si>
    <t>B</t>
  </si>
  <si>
    <t>confidential</t>
  </si>
  <si>
    <t>Disposal - other
(D2-D4, D6-D7)</t>
  </si>
  <si>
    <t>Disposal - landfill
(D1, D5, D12)</t>
  </si>
  <si>
    <t>Disposal - incineration
(D10)</t>
  </si>
  <si>
    <t>secondary confidentiality set by the sender</t>
  </si>
  <si>
    <t>Break in time series</t>
  </si>
  <si>
    <t>Statistical Office of the European Union</t>
  </si>
  <si>
    <t>Directorate E: Sectoral and regional statistics</t>
  </si>
  <si>
    <t>Unit E-2: Environmental statistics and accounts; sustainable development</t>
  </si>
  <si>
    <t>TITLE</t>
  </si>
  <si>
    <t>DESCRIPTION</t>
  </si>
  <si>
    <t>TYPE</t>
  </si>
  <si>
    <t>Index</t>
  </si>
  <si>
    <t>Structure of the questionnaire</t>
  </si>
  <si>
    <t>for information</t>
  </si>
  <si>
    <t xml:space="preserve">Basic instructions </t>
  </si>
  <si>
    <t>Basic instructions</t>
  </si>
  <si>
    <t>for reading before filling in the questionnaire</t>
  </si>
  <si>
    <t>Methodology</t>
  </si>
  <si>
    <t>Footnotes list</t>
  </si>
  <si>
    <t>for filling in</t>
  </si>
  <si>
    <t>Table 1</t>
  </si>
  <si>
    <t xml:space="preserve">Reference year:    </t>
  </si>
  <si>
    <t xml:space="preserve"> </t>
  </si>
  <si>
    <t>Name:</t>
  </si>
  <si>
    <t>Institution:</t>
  </si>
  <si>
    <t>Unit:</t>
  </si>
  <si>
    <t>Telephone:</t>
  </si>
  <si>
    <t>Email adress:</t>
  </si>
  <si>
    <t xml:space="preserve">Eurostat would be grateful if you could send us the completed questionnaire ahead of the deadline. </t>
  </si>
  <si>
    <t>Symbol</t>
  </si>
  <si>
    <t>Real zero</t>
  </si>
  <si>
    <t>Not available</t>
  </si>
  <si>
    <t>1. White shaded (uncoloured) boxes: Provision of data is mandatory</t>
  </si>
  <si>
    <t>2. Black shaded boxes: reporting is not applicable</t>
  </si>
  <si>
    <t>The following footnotes will be used for the automatic data processing and data dissemination. Hence, they cannot be changed:</t>
  </si>
  <si>
    <t>https://ec.europa.eu/eurostat/web/waste/methodology</t>
  </si>
  <si>
    <t>The guidelines contain definitions, examples and recommendations to ensure that data are compiled and maintained on a consistent basis. They explain the scope and the reasoning behind the terms of the tables, and provide extra information necessary to allow a consistent collection and interpretation of the data to be reported by countries.</t>
  </si>
  <si>
    <t>A summary methodology is presented in this questionnaire, in the sheet named 'Methodology'. It is essential to read this sheet before filling in the questionnaire as it contains, beside the summary methodology, important information on priorities for filling in the tables, data sources and hints for establishing a methodology at national level.</t>
  </si>
  <si>
    <t>If you have questions, please send them to the following email addresses:</t>
  </si>
  <si>
    <t>ESTAT-WASTE-STATISTICS@EC.EUROPA.EU</t>
  </si>
  <si>
    <t>Annex: How to fill in the data sheets of the questionnaire</t>
  </si>
  <si>
    <t>You are kindly requested to:</t>
  </si>
  <si>
    <t>Table of contents</t>
  </si>
  <si>
    <t>1. Background</t>
  </si>
  <si>
    <t>3. Data reporting - questionnaire</t>
  </si>
  <si>
    <t>https://ec.europa.eu/eurostat/web/waste/legislation</t>
  </si>
  <si>
    <t>https://eur-lex.europa.eu/legal-content/EN/TXT/?uri=CELEX:02008L0098-20180705</t>
  </si>
  <si>
    <t>Country label</t>
  </si>
  <si>
    <t>Country code</t>
  </si>
  <si>
    <t>Valid flags</t>
  </si>
  <si>
    <t>Label</t>
  </si>
  <si>
    <t>Estimated data</t>
  </si>
  <si>
    <t>Czechia</t>
  </si>
  <si>
    <t>Break in time series, estimated</t>
  </si>
  <si>
    <t>BP</t>
  </si>
  <si>
    <t>Break in time series, provisional</t>
  </si>
  <si>
    <t>EP</t>
  </si>
  <si>
    <t>Estimated, provisional</t>
  </si>
  <si>
    <t>BEP</t>
  </si>
  <si>
    <t>Break in time series, estimated, provisional</t>
  </si>
  <si>
    <t>Netherlands</t>
  </si>
  <si>
    <t>North Macedonia</t>
  </si>
  <si>
    <t>Kosovo (UNSCR 1244)</t>
  </si>
  <si>
    <t>Reference year:</t>
  </si>
  <si>
    <t>Unit: Tonnes</t>
  </si>
  <si>
    <t>T</t>
  </si>
  <si>
    <t>Standard footnote</t>
  </si>
  <si>
    <t>Confidentiality footnote</t>
  </si>
  <si>
    <t>Not applicable</t>
  </si>
  <si>
    <t>Total</t>
  </si>
  <si>
    <t>PRIM</t>
  </si>
  <si>
    <t>Primary waste</t>
  </si>
  <si>
    <t>SEC</t>
  </si>
  <si>
    <t xml:space="preserve">Secondary Waste </t>
  </si>
  <si>
    <t>Recovery
 -
 recycling</t>
  </si>
  <si>
    <t>Recovery
 -
 backfilling</t>
  </si>
  <si>
    <t>Recovery -
energy recovery
(R1)</t>
  </si>
  <si>
    <t>Notes:</t>
  </si>
  <si>
    <t>Cell shading:</t>
  </si>
  <si>
    <t>White: Data provision is mandatory.</t>
  </si>
  <si>
    <t>Light orange: Footnotes (only to be filled-in when relevant)</t>
  </si>
  <si>
    <t>Black: Not applicable</t>
  </si>
  <si>
    <t>Valid standard footnotes:</t>
  </si>
  <si>
    <t xml:space="preserve">     E -  Estimate</t>
  </si>
  <si>
    <t xml:space="preserve">     B -  Break in time series</t>
  </si>
  <si>
    <t xml:space="preserve">     P -  Provisional</t>
  </si>
  <si>
    <t>Valid confidentiality footnotes:</t>
  </si>
  <si>
    <t xml:space="preserve">     D -  Secondary confidentiality set by the sender, not for publication</t>
  </si>
  <si>
    <t xml:space="preserve">     C -  Confidential</t>
  </si>
  <si>
    <t>SheetName</t>
  </si>
  <si>
    <t>Table_1</t>
  </si>
  <si>
    <t>TopLeftCell</t>
  </si>
  <si>
    <t>BottomRightCell</t>
  </si>
  <si>
    <t>RowStep</t>
  </si>
  <si>
    <t>ColumnStep</t>
  </si>
  <si>
    <t>G8</t>
  </si>
  <si>
    <t>YES</t>
  </si>
  <si>
    <t>G30</t>
  </si>
  <si>
    <t>G33</t>
  </si>
  <si>
    <t>G36</t>
  </si>
  <si>
    <t>G42</t>
  </si>
  <si>
    <t>G45</t>
  </si>
  <si>
    <t>G48</t>
  </si>
  <si>
    <t>G54</t>
  </si>
  <si>
    <t>G56</t>
  </si>
  <si>
    <t>G69</t>
  </si>
  <si>
    <t>G72</t>
  </si>
  <si>
    <t>G75</t>
  </si>
  <si>
    <t>G78</t>
  </si>
  <si>
    <t>G87</t>
  </si>
  <si>
    <t>DistanceFromReferenceToText</t>
  </si>
  <si>
    <t>J8</t>
  </si>
  <si>
    <t>All the mandatory cells (white cells) in table 1 must be filled-in.</t>
  </si>
  <si>
    <t>Total Waste (excluding mineral waste)</t>
  </si>
  <si>
    <t>Explanatory footnote</t>
  </si>
  <si>
    <t>RCV_R_B</t>
  </si>
  <si>
    <t>Recovery
 -
 recycling and backfilling</t>
  </si>
  <si>
    <t>DSP_L_OTH</t>
  </si>
  <si>
    <t>Disposal - landfill and other
(D1-D7, D12)</t>
  </si>
  <si>
    <t xml:space="preserve">If mandatory cells are left empty, an explanation why the data is missing has to be provided by means of the "Explanatory footnote" next to the missing value. </t>
  </si>
  <si>
    <t>Hazardous plus non-hazardous waste must be equal to the total for each waste category.</t>
  </si>
  <si>
    <t>Total waste (coded as TOTAL) must equal to the sum of all EWCstat. categories</t>
  </si>
  <si>
    <t>Total Waste (excluding mineral waste) coded as TOT_X_MIN must be equal to the sum of all EWCstat. minus the following categories:
  - 12.1 Mineral waste from construction and demolition (coded W121)
  - 12.2,12.3 and 12.5 Other mineral wastes (Coded W12B)
  - 12.6 Soils (coded W126)
  - 12.7 Dredging spoils (coded W127)</t>
  </si>
  <si>
    <t>Primary waste, coded as PRIM, must be equal to the sum of all EWCstat. categories minus
  - 03.3 Sludges and liquid waste from waste treatment (Coded W033)
  - 10.3 Sorting residues (Coded W103)
  - 128_13 Mineral waste from waste treatment and stabilised waste (Coded W128_13)</t>
  </si>
  <si>
    <t>Secondary waste, coded as SEC, must be equal to the sum of the following EWCstat. categories                                                
- 03.3 Sludges and liquid waste from waste treatment (Coded W033)
  - 10.3 Sorting residues (Coded W103)
  - 128_13 Mineral waste from waste treatment and stabilised waste (Coded W128_13)</t>
  </si>
  <si>
    <t>When an explanatory footnote is referenced (by means of a number selected from the drop-down list), the referenced footnote in the sheet "Footnotes list" must not be empty.</t>
  </si>
  <si>
    <t>"Recovery - recycling and backfilling" (coded RCV_R_B) must be equal to "Recovery -  recycling" (coded RCV_R) plus "Recovery -  backfilling" (coded RCV_B)</t>
  </si>
  <si>
    <t>List of country-specific explanatory footnotes</t>
  </si>
  <si>
    <t>Light grey: Automatic calculation. Formula can exceptionally be changed by a value</t>
  </si>
  <si>
    <t>WASTE TREATMENT by waste category
 (EWC-STAT)
and treatment category</t>
  </si>
  <si>
    <t>Top Left Cell</t>
  </si>
  <si>
    <t>Bottom Right Cell</t>
  </si>
  <si>
    <t>Row Step</t>
  </si>
  <si>
    <t>Column Step</t>
  </si>
  <si>
    <t>Lock Type</t>
  </si>
  <si>
    <t>Focus Back To</t>
  </si>
  <si>
    <t>IMPORTANT: The same cell must not be included in two ranges. In such a case the switch will operate twice, leaving the cell in the same original state</t>
  </si>
  <si>
    <t>G10</t>
  </si>
  <si>
    <t>Formulas</t>
  </si>
  <si>
    <t>Severity</t>
  </si>
  <si>
    <t>Error</t>
  </si>
  <si>
    <t>Name of the sheet to be validated (e.g. Table 1)</t>
  </si>
  <si>
    <t>Sheet Name</t>
  </si>
  <si>
    <t>List of Cells
 (first block)</t>
  </si>
  <si>
    <t>First Total Cell (first block)</t>
  </si>
  <si>
    <t>Last Total Cell
(Last block)</t>
  </si>
  <si>
    <t>Row Block Repetition Step</t>
  </si>
  <si>
    <t>Column Block Repetition Step</t>
  </si>
  <si>
    <t>Greater or Equal</t>
  </si>
  <si>
    <t>Valid Threshold</t>
  </si>
  <si>
    <t>Only if all data is available</t>
  </si>
  <si>
    <t>Display text in error</t>
  </si>
  <si>
    <t>G8,G11,G14,G17,G20,G26,G29,G32,G35,G38,G41,G44,G47,G50,G53,G56,G59,G62,G65,G68,G71,G74,G77,G80,G86,G89,G92,G95,G98,G101</t>
  </si>
  <si>
    <t>G107</t>
  </si>
  <si>
    <t>EQ</t>
  </si>
  <si>
    <t>G23,G83,G104</t>
  </si>
  <si>
    <t>G110</t>
  </si>
  <si>
    <t>G8,G11,G14,G17,G20,G23,G26,G29,G32,G35,G38,G41,G44,G47,G50,G53,G56,G59,G62,G65,G68,G71,G74,G77,G80,G83,G86,G95,G104</t>
  </si>
  <si>
    <t>G113</t>
  </si>
  <si>
    <t>G8,G11,G14,G17,G20,G23,G26,G29,G32,G35,G38,G41,G44,G47,G50,G53,G56,G59,G62,G65,G68,G71,G74,G77,G80,G83,G86,G89,G92,G95,G98,G101,G104</t>
  </si>
  <si>
    <t>G116</t>
  </si>
  <si>
    <t>G8,G9</t>
  </si>
  <si>
    <t>Total = Haz. + Non-Haz.</t>
  </si>
  <si>
    <t>Must be &gt; 0 for a not relevant dimension. Else you get an infinite loop</t>
  </si>
  <si>
    <t>EQ or GE or GT</t>
  </si>
  <si>
    <t>GT does not admit threshold</t>
  </si>
  <si>
    <t>NO or YES</t>
  </si>
  <si>
    <t>This sheet is meant to define the validation for summations in a row or in a column.</t>
  </si>
  <si>
    <t>- A block is defined as a sequence of addendums in the same row or column</t>
  </si>
  <si>
    <t>- Only the first block must be explicitly defined</t>
  </si>
  <si>
    <t>- The block can be repeated at regular patterns through rows and columns at the same time</t>
  </si>
  <si>
    <t>PARAMETRES</t>
  </si>
  <si>
    <t>First cell in the first block to be validated</t>
  </si>
  <si>
    <t>First TotalCell (first block)</t>
  </si>
  <si>
    <t>Last TotalCell (Last block)</t>
  </si>
  <si>
    <t>Valid values: EQ (Strictly equal); GE (Greater or Equal); GT (Strictly greater - No threshold will be considered)</t>
  </si>
  <si>
    <t>Empty Is Valid If Footnote Exists</t>
  </si>
  <si>
    <t>Footnote Shift From Value</t>
  </si>
  <si>
    <t>V106</t>
  </si>
  <si>
    <t>Hazardous + non hazardous (left block, until RCV_R_B)</t>
  </si>
  <si>
    <t>Hazardous + non hazardous (Middle-left block, between RCV_R_B and DSP_L_OTH)</t>
  </si>
  <si>
    <t>AF10</t>
  </si>
  <si>
    <t>AK106</t>
  </si>
  <si>
    <t>Bottom grand totals</t>
  </si>
  <si>
    <t>AU118</t>
  </si>
  <si>
    <t>AA8</t>
  </si>
  <si>
    <t>AA10</t>
  </si>
  <si>
    <t>AA14</t>
  </si>
  <si>
    <t>AA30</t>
  </si>
  <si>
    <t>AA31</t>
  </si>
  <si>
    <t>AA33</t>
  </si>
  <si>
    <t>AA34</t>
  </si>
  <si>
    <t>AA36</t>
  </si>
  <si>
    <t>AA40</t>
  </si>
  <si>
    <t>AA42</t>
  </si>
  <si>
    <t>AA43</t>
  </si>
  <si>
    <t>AA45</t>
  </si>
  <si>
    <t>AA46</t>
  </si>
  <si>
    <t>AA48</t>
  </si>
  <si>
    <t>AA52</t>
  </si>
  <si>
    <t>AA54</t>
  </si>
  <si>
    <t>AA56</t>
  </si>
  <si>
    <t>AA58</t>
  </si>
  <si>
    <t>AA67</t>
  </si>
  <si>
    <t>AA69</t>
  </si>
  <si>
    <t>AA70</t>
  </si>
  <si>
    <t>AA72</t>
  </si>
  <si>
    <t>AA73</t>
  </si>
  <si>
    <t>AA75</t>
  </si>
  <si>
    <t>AA76</t>
  </si>
  <si>
    <t>AA78</t>
  </si>
  <si>
    <t>AA85</t>
  </si>
  <si>
    <t>AA87</t>
  </si>
  <si>
    <t>AA106</t>
  </si>
  <si>
    <t>AP8</t>
  </si>
  <si>
    <t>AP10</t>
  </si>
  <si>
    <t>AP30</t>
  </si>
  <si>
    <t>AP33</t>
  </si>
  <si>
    <t>AP36</t>
  </si>
  <si>
    <t>AP42</t>
  </si>
  <si>
    <t>AP45</t>
  </si>
  <si>
    <t>AP48</t>
  </si>
  <si>
    <t>AP54</t>
  </si>
  <si>
    <t>AP58</t>
  </si>
  <si>
    <t>AP69</t>
  </si>
  <si>
    <t>AP72</t>
  </si>
  <si>
    <t>AP75</t>
  </si>
  <si>
    <t>AP78</t>
  </si>
  <si>
    <t>AP87</t>
  </si>
  <si>
    <t>AU8</t>
  </si>
  <si>
    <t>AU14</t>
  </si>
  <si>
    <t>AU31</t>
  </si>
  <si>
    <t>AU34</t>
  </si>
  <si>
    <t>AU40</t>
  </si>
  <si>
    <t>AU43</t>
  </si>
  <si>
    <t>AU46</t>
  </si>
  <si>
    <t>AU52</t>
  </si>
  <si>
    <t>AU56</t>
  </si>
  <si>
    <t>AU67</t>
  </si>
  <si>
    <t>AU70</t>
  </si>
  <si>
    <t>AU73</t>
  </si>
  <si>
    <t>AU76</t>
  </si>
  <si>
    <t>AU85</t>
  </si>
  <si>
    <t>AU106</t>
  </si>
  <si>
    <t>DSP_L_OTH and TRT</t>
  </si>
  <si>
    <t>AA16</t>
  </si>
  <si>
    <t>AA28</t>
  </si>
  <si>
    <t>AP16</t>
  </si>
  <si>
    <t>AU28</t>
  </si>
  <si>
    <t>CDD</t>
  </si>
  <si>
    <t>AX118</t>
  </si>
  <si>
    <t>Info</t>
  </si>
  <si>
    <t>AU109</t>
  </si>
  <si>
    <t>AU112</t>
  </si>
  <si>
    <t>AU115</t>
  </si>
  <si>
    <t>Q8,V8</t>
  </si>
  <si>
    <t>AA118</t>
  </si>
  <si>
    <t>AF8,AK8</t>
  </si>
  <si>
    <t>AP118</t>
  </si>
  <si>
    <t>G8,L8,AA8,AP8</t>
  </si>
  <si>
    <t>G16</t>
  </si>
  <si>
    <t>G58</t>
  </si>
  <si>
    <t>https://webgate.ec.europa.eu/edamis/helpcenter/website/index.htm</t>
  </si>
  <si>
    <t>https://webgate.ec.europa.eu/estat/spe/metaconv/home.htm</t>
  </si>
  <si>
    <t>TOT_X_MIN</t>
  </si>
  <si>
    <t xml:space="preserve"> INDEX - STRUCTURE OF THE QUESTIONNAIRE</t>
  </si>
  <si>
    <t>I. Basic information</t>
  </si>
  <si>
    <t>Explanatory notes and methodology</t>
  </si>
  <si>
    <t>Validation rules</t>
  </si>
  <si>
    <t>Validation performed by the 'Validate questionnaire' button</t>
  </si>
  <si>
    <t>II. Reporting data (To be filled in by the country)</t>
  </si>
  <si>
    <t>GETTING STARTED</t>
  </si>
  <si>
    <t>Country and data collection definition. Administrative data.</t>
  </si>
  <si>
    <t>for filling in.</t>
  </si>
  <si>
    <t>BASIC INSTRUCTIONS</t>
  </si>
  <si>
    <t>Before filling in the questionnaire please read carefully the instructions below. This EXCEL workbook is the questionnaire. Please do not  delete or add rows in the questionnaire.</t>
  </si>
  <si>
    <t>This EXCEL workbook contains macros. In order to make them work you need to save the file in your computer and then reopen it and enable macros resp. make it a trusted document.</t>
  </si>
  <si>
    <t>Once you filled in all the required fields, you have to validate the data before submitting the questionnaire (clicking on the button 'Validate questionnaire' on the top left-hand corner of the worksheets). It is of the utmost importance to confirm that there are no pending errors (see 'Errorlog' worksheet), since a questionnaire with errors (red shadowed cells) will be rejected. You can restore the color of the table clicking on 'Restore table color'.</t>
  </si>
  <si>
    <t xml:space="preserve">   1. Data transmission</t>
  </si>
  <si>
    <t xml:space="preserve">   2. Reporting conventions</t>
  </si>
  <si>
    <t xml:space="preserve">   3. Metadata</t>
  </si>
  <si>
    <t xml:space="preserve">  </t>
  </si>
  <si>
    <t xml:space="preserve">   4. Footnotes</t>
  </si>
  <si>
    <t xml:space="preserve">   5. Methodology and questions</t>
  </si>
  <si>
    <t xml:space="preserve">   Annex: How to fill in the data sheets of the questionnaire</t>
  </si>
  <si>
    <t>1. Data transmission:</t>
  </si>
  <si>
    <t>The standard tool for the transmission of statistical data is the eDAMIS system. The system creates a secure environment for the transmission of data, it records all data submissions and acknowledges the data delivery. The eDAMIS system has been installed in the National Statistical Institutes.</t>
  </si>
  <si>
    <t xml:space="preserve">Please submit this questionnaire to Eurostat using the eDAMIS reporting system. Use the following details: </t>
  </si>
  <si>
    <t>Domain name:</t>
  </si>
  <si>
    <t>Dataset name:</t>
  </si>
  <si>
    <t xml:space="preserve">Should you have any questions regarding data transmission do not hesitate to contact your local eDAMIS coordinator or the Eurostat eDAMIS helpdesk at: </t>
  </si>
  <si>
    <t xml:space="preserve">   web page:</t>
  </si>
  <si>
    <t xml:space="preserve">   e-mail address:</t>
  </si>
  <si>
    <t xml:space="preserve">   telephone:</t>
  </si>
  <si>
    <t>For methodological questions please contact:</t>
  </si>
  <si>
    <t>2.  Reporting conventions:</t>
  </si>
  <si>
    <t>Reporting of zeroes and not availble data must follow this convention:</t>
  </si>
  <si>
    <t xml:space="preserve"> (empty cell)</t>
  </si>
  <si>
    <t>3. Grey shaded boxes: calculation is automatic; do not input any data into these cells. IF exceptionally you need to input data in a grey cell, first press the "unlock formulas" button situated in the top left-hand corner of each sheet.</t>
  </si>
  <si>
    <t>3. Metadata:</t>
  </si>
  <si>
    <t xml:space="preserve">Please provide data by means of the Metadatahandler, available in the following link: </t>
  </si>
  <si>
    <t>4. Footnotes:</t>
  </si>
  <si>
    <t>You are asked to report data that follow as closely as possible the Waste Statistics Regulation waste definitions and reporting rules (see paragraphs below). Please report problems with the coverage or data quality in the Metadatahandler.</t>
  </si>
  <si>
    <t xml:space="preserve">Flags (footnote symbols) should be entered in the reporting tables in the footnote columns, next to the value cell. There are two types of footnotes: </t>
  </si>
  <si>
    <t>- Letters for standard footnotes (as defined by Eurostat) and…</t>
  </si>
  <si>
    <t xml:space="preserve">- Numbers for country-specific footnotes (to be defined by the data compilers). </t>
  </si>
  <si>
    <t>4.1 Standard footnotes</t>
  </si>
  <si>
    <r>
      <rPr>
        <b/>
        <sz val="11"/>
        <rFont val="Arial"/>
        <family val="2"/>
      </rPr>
      <t xml:space="preserve">B) </t>
    </r>
    <r>
      <rPr>
        <sz val="11"/>
        <rFont val="Arial"/>
        <family val="2"/>
      </rPr>
      <t>break in series</t>
    </r>
  </si>
  <si>
    <t>Please use this flag when the reported figure cannot be compared to the data reported for the previous year, e.g. because of new methods or sources being used or when you move from the old calculation rules to the new calculation rules. Please use this flag only when the change in methods, sources or calculation rules has a substantial impact.</t>
  </si>
  <si>
    <r>
      <rPr>
        <b/>
        <sz val="11"/>
        <rFont val="Arial"/>
        <family val="2"/>
      </rPr>
      <t>E)</t>
    </r>
    <r>
      <rPr>
        <sz val="11"/>
        <rFont val="Arial"/>
        <family val="2"/>
      </rPr>
      <t xml:space="preserve"> estimated data</t>
    </r>
  </si>
  <si>
    <r>
      <rPr>
        <b/>
        <sz val="11"/>
        <rFont val="Arial"/>
        <family val="2"/>
      </rPr>
      <t>P)</t>
    </r>
    <r>
      <rPr>
        <sz val="11"/>
        <rFont val="Arial"/>
        <family val="2"/>
      </rPr>
      <t xml:space="preserve"> provisional</t>
    </r>
  </si>
  <si>
    <t>The drop-down menu includes as well combinations of footnotes. If you need to put more than one footnote in a field, please, use these combinations in the drop-down menu.</t>
  </si>
  <si>
    <t>4.2 Country-specific explanatory footnotes</t>
  </si>
  <si>
    <t>The explanatory footnotes can be used for any meaning beyond the pre-defined footnotes.</t>
  </si>
  <si>
    <t>To include an explanatory footnote, please first insert the text in the “Footnote list” sheet starting from number 1. Then in the data table please select the corresponding footnote reference number from the drop-down menu in the footnote column next to the value cell. The text you entered in the “Footnote list” sheet will then appear automatically next to the footnote reference number. The same explanatory footnote can be chosen for all the values for which the same explanation applies. If by mistake a number is chosen from the drop-down menu, it is sufficient to press the key delete to clean the cell.</t>
  </si>
  <si>
    <t xml:space="preserve">Please do not report footnotes that elaborate on e.g. source data and compilation methods; these are to be described in the quality report and the metadata sheets. </t>
  </si>
  <si>
    <t>5. Methodology and questions:</t>
  </si>
  <si>
    <t>Guidance and the Manual on waste statistics are available on Eurostat website:</t>
  </si>
  <si>
    <t>1)    All mandatory data cells (whilte cells) must be filled in with a positive value or a zero.</t>
  </si>
  <si>
    <t>2)    Cells, which contain sums, are filled in automatically, unless there are empty fields in one of the summands. In this case, the field containing the sum has to be filled as well. In case, you  assume that a formula should be added in a cell, please, send us an email with this formula. Please, do not add the formula yourself. The formula may be helpful all countries.</t>
  </si>
  <si>
    <t>3)    Flags (footnote symbols) can be entered in the reporting tables in the footnote columns.</t>
  </si>
  <si>
    <t>4)    To include standard footnotes use the drop-down menu.</t>
  </si>
  <si>
    <t>5)    The text of specific footnotes can be entered in the worksheet 'Footnotes list'.</t>
  </si>
  <si>
    <t>6)    Empty fields are a breach of the Regulation 2150/2002. An explanation, why the value is not available, has to be entered.</t>
  </si>
  <si>
    <t>METHODOLOGY AND LEGAL ACTS</t>
  </si>
  <si>
    <t xml:space="preserve">   1. Background</t>
  </si>
  <si>
    <t xml:space="preserve">   2. Legal acts</t>
  </si>
  <si>
    <t xml:space="preserve">   3. Data reporting - questionnaire</t>
  </si>
  <si>
    <t>Regular Community statistics on the production and management of waste from businesses and private households are required by the Community for monitoring the implementation of waste policy. Regulation (EC) No 2150/2002 of the European Parliament and of the Council of 25 November 2002 on waste statistics creates the basis for monitoring compliance with the principles of maximisation of recovery and safe disposal.</t>
  </si>
  <si>
    <t>This reporting template allows Member States to report waste generation pursuant to the requirements of this Regulation and the amending Commission Regulation (EU) No 849/2010.</t>
  </si>
  <si>
    <t>The guidelines are available here:</t>
  </si>
  <si>
    <t>2.  Legal acts</t>
  </si>
  <si>
    <t>Definitions and classifications in these Regulations are based on the Waste Framework Directive - Directive 2008/98/EC of the European Parliament and the Council  (https://eur-lex.europa.eu/legal-content/EN/TXT/?uri=CELEX:02008L0098-20180705)</t>
  </si>
  <si>
    <t>The legislation is available here:</t>
  </si>
  <si>
    <t>This document assists Member States to report high quality, harmonised and efficient statistics. Detailed instructions can be found in the guidance document referred to above.</t>
  </si>
  <si>
    <t>The reporting shall cover a full calendar year.</t>
  </si>
  <si>
    <t>The basic instructions sheet consists of some information necessary for filling in this questionnaire correctly, like unit of measure, allowed symbols, metadata, footnotes, and transmission to Eurostat.</t>
  </si>
  <si>
    <t>VALIDATION RULES</t>
  </si>
  <si>
    <t xml:space="preserve">  1. Mandatory data</t>
  </si>
  <si>
    <t xml:space="preserve">  2. Arithmetic rules</t>
  </si>
  <si>
    <t xml:space="preserve">  3. Explanatory footnotes</t>
  </si>
  <si>
    <t>1. Mandatory Data:</t>
  </si>
  <si>
    <t>All the information requested in the sheet "GETTING STARTED" must be filled in.</t>
  </si>
  <si>
    <t>2. Arithmetic rules</t>
  </si>
  <si>
    <t>All reported values must be equal or bigger than 0 (positive values).</t>
  </si>
  <si>
    <t>3. Explanatory footnotes</t>
  </si>
  <si>
    <t xml:space="preserve"> GETTING STARTED</t>
  </si>
  <si>
    <t>Please select your country (click on the white cell):</t>
  </si>
  <si>
    <t>EXPLANATORY FOOTNOTES</t>
  </si>
  <si>
    <t>Type your text here.</t>
  </si>
  <si>
    <t>Sheet From</t>
  </si>
  <si>
    <t>Sheet To</t>
  </si>
  <si>
    <t>Confidentiality flag
(YES/NO)</t>
  </si>
  <si>
    <t>Replace locked cells
(YES/NO)</t>
  </si>
  <si>
    <t>Hide sheet after pasting
(YES/NO)</t>
  </si>
  <si>
    <t>Table_1 (COPY-PASTING)</t>
  </si>
  <si>
    <t>Changed by</t>
  </si>
  <si>
    <t>Cell</t>
  </si>
  <si>
    <t>Change</t>
  </si>
  <si>
    <t>Version</t>
  </si>
  <si>
    <t>Date</t>
  </si>
  <si>
    <t>REMARKS</t>
  </si>
  <si>
    <t>ChangeLog</t>
  </si>
  <si>
    <t>May 2022</t>
  </si>
  <si>
    <t>Add macros m21</t>
  </si>
  <si>
    <t>CountryName</t>
  </si>
  <si>
    <t>This QC has been merge into "mandatory" QC</t>
  </si>
  <si>
    <t>ALL</t>
  </si>
  <si>
    <t>Adapt to Style Guide for E2 Waste questionnaires</t>
  </si>
  <si>
    <t>MacroBehaviour</t>
  </si>
  <si>
    <t>Include MacroBehaviour sheet (see the sheet content for details)</t>
  </si>
  <si>
    <t>COMMON TO ALL (OR MOST)  QUESTIONNAIRE</t>
  </si>
  <si>
    <t>SPECIFIC TO THIS QUESTIONNAIRE</t>
  </si>
  <si>
    <t>Parameter</t>
  </si>
  <si>
    <t>Value</t>
  </si>
  <si>
    <t>(Valid values)</t>
  </si>
  <si>
    <t>ForbiddenString</t>
  </si>
  <si>
    <t>Warning</t>
  </si>
  <si>
    <t>E9</t>
  </si>
  <si>
    <t>E58</t>
  </si>
  <si>
    <t>not available</t>
  </si>
  <si>
    <t>Please verify the explanatory note sufficiently explains why the data is not available</t>
  </si>
  <si>
    <t>not reported</t>
  </si>
  <si>
    <t>unavailable data</t>
  </si>
  <si>
    <t>no data available</t>
  </si>
  <si>
    <t>v0.8m22</t>
  </si>
  <si>
    <t>Include SSS "ForbiddenStrings"</t>
  </si>
  <si>
    <t>Introduced to allow copy-pasting from that sheet to the reporting one</t>
  </si>
  <si>
    <t>Textual variables</t>
  </si>
  <si>
    <t>String</t>
  </si>
  <si>
    <t>Institutional names</t>
  </si>
  <si>
    <t>Eurostat Text</t>
  </si>
  <si>
    <t>Directorate Text</t>
  </si>
  <si>
    <t>Unit Text</t>
  </si>
  <si>
    <t>Data collection information</t>
  </si>
  <si>
    <t>Data Collection Text</t>
  </si>
  <si>
    <t>Launching date</t>
  </si>
  <si>
    <t>Submission deadline</t>
  </si>
  <si>
    <t>EDAMIS data</t>
  </si>
  <si>
    <t>Domain name</t>
  </si>
  <si>
    <t>WASTE</t>
  </si>
  <si>
    <t>Dataset name</t>
  </si>
  <si>
    <t>Web page</t>
  </si>
  <si>
    <t>Functional e-mail</t>
  </si>
  <si>
    <t>estat-support-edamis@ec.europa.eu</t>
  </si>
  <si>
    <t>E2 information</t>
  </si>
  <si>
    <t>Telephone</t>
  </si>
  <si>
    <t>(+352) 4301 33213</t>
  </si>
  <si>
    <t>Contact</t>
  </si>
  <si>
    <t>Methodology URL</t>
  </si>
  <si>
    <t>Legislation URL</t>
  </si>
  <si>
    <t>Biennial Waste Statistics Regulation - Waste Treatment</t>
  </si>
  <si>
    <t>WASTE TREATMENT by waste category (EWC-STAT) and treatment category</t>
  </si>
  <si>
    <t>WASTE_TRT</t>
  </si>
  <si>
    <t>"Disposal - landfill and other (D1-D7, D12)" (coded DSP_L_OTH) must be equal to "Disposal - landfill (D1, D5, D12)" (coded DSP_L) plus "Disposal - other (D2-D4, D6-D7)" (coded DSP_OTH)</t>
  </si>
  <si>
    <t>E10</t>
  </si>
  <si>
    <t>STANDARD FOR ALL QUESTIONNAIRES</t>
  </si>
  <si>
    <t>D14</t>
  </si>
  <si>
    <t>D22</t>
  </si>
  <si>
    <t>Link to Error</t>
  </si>
  <si>
    <t>Validation Rule</t>
  </si>
  <si>
    <t>Sheet</t>
  </si>
  <si>
    <t>Former Color</t>
  </si>
  <si>
    <t>Sheet was added. Changes before 18/05/2022 do not appear in this log.</t>
  </si>
  <si>
    <t>TRUE (during development)
FALSE (For real reporting and testing, prevents copy-paste of formats by the user)</t>
  </si>
  <si>
    <t xml:space="preserve">NOT VALID FOR REPORTING … NOT VALID FOR REPORTING ...  NOT VALID FOR REPORTING … NOT VALID FOR REPORTING … NOT VALID FOR REPORTING </t>
  </si>
  <si>
    <t>Data Collection Year</t>
  </si>
  <si>
    <t>AY106</t>
  </si>
  <si>
    <t>AY118</t>
  </si>
  <si>
    <t>Detailed waste codes</t>
  </si>
  <si>
    <t xml:space="preserve">GRAND TOTAL </t>
  </si>
  <si>
    <t>Non compliance Is Valid If Footnote Exists</t>
  </si>
  <si>
    <t>Not Applicable if the previous column is "NO"</t>
  </si>
  <si>
    <t>CDD: Validation removed because all summations are "EQ". Hence this validation has no added value</t>
  </si>
  <si>
    <t>Footnote Call-out (number) exists
(YES/NO)</t>
  </si>
  <si>
    <t>DevelopmentMode</t>
  </si>
  <si>
    <t>RCV_R_B must be equal to RCV_R + RCV_B</t>
  </si>
  <si>
    <t>DSP_L_OTH must be equal to DSP_L + DSP_OTH</t>
  </si>
  <si>
    <t>Primary Waste total is not correct</t>
  </si>
  <si>
    <t>Secondary Waste total is not correct</t>
  </si>
  <si>
    <t>Total Waste (excluding mineral waste) is not correct</t>
  </si>
  <si>
    <t>Waste total is not correct</t>
  </si>
  <si>
    <t>Footnote type 
(CONF/STATUS)</t>
  </si>
  <si>
    <t>H8</t>
  </si>
  <si>
    <t>STATUS</t>
  </si>
  <si>
    <t>AV118</t>
  </si>
  <si>
    <t>I8</t>
  </si>
  <si>
    <t>AW118</t>
  </si>
  <si>
    <t>CONF</t>
  </si>
  <si>
    <t>European Parliament and Council Regulation 2150/2002 was last amended by amending Commission Regulation (EU) No 849/2010.</t>
  </si>
  <si>
    <t>Georgia</t>
  </si>
  <si>
    <t>GE</t>
  </si>
  <si>
    <t>Moldova</t>
  </si>
  <si>
    <t>MD</t>
  </si>
  <si>
    <t>Ukraine</t>
  </si>
  <si>
    <t>UE</t>
  </si>
  <si>
    <t>TRT = RCV_E + DSP_I + RCV_R_B + DSP_L_OTH</t>
  </si>
  <si>
    <t>19 May 2026</t>
  </si>
  <si>
    <t>30 June 2026</t>
  </si>
  <si>
    <t>WASTE-2026-DC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</si>
</sst>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0.000"/>
  </numFmts>
  <fonts count="66" x14ac:knownFonts="1">
    <font>
      <sz val="11"/>
      <color theme="1"/>
      <name val="Calibri"/>
      <family val="2"/>
      <scheme val="minor"/>
    </font>
    <font>
      <b/>
      <sz val="11"/>
      <color rgb="FFFFFFFF"/>
      <name val="Calibri"/>
      <family val="2"/>
      <scheme val="minor"/>
    </font>
    <font>
      <sz val="11"/>
      <name val="Calibri"/>
      <family val="2"/>
      <scheme val="minor"/>
    </font>
    <font>
      <sz val="11"/>
      <color theme="1"/>
      <name val="Calibri"/>
      <family val="2"/>
      <scheme val="minor"/>
    </font>
    <font>
      <b/>
      <sz val="11"/>
      <color theme="0"/>
      <name val="Calibri"/>
      <family val="2"/>
      <scheme val="minor"/>
    </font>
    <font>
      <sz val="10"/>
      <name val="Arial"/>
      <family val="2"/>
    </font>
    <font>
      <sz val="9"/>
      <name val="Arial"/>
      <family val="2"/>
    </font>
    <font>
      <b/>
      <sz val="9"/>
      <name val="Arial"/>
      <family val="2"/>
    </font>
    <font>
      <u/>
      <sz val="9"/>
      <color indexed="12"/>
      <name val="Arial"/>
      <family val="2"/>
    </font>
    <font>
      <sz val="9"/>
      <color indexed="10"/>
      <name val="Arial"/>
      <family val="2"/>
    </font>
    <font>
      <b/>
      <sz val="10"/>
      <color indexed="48"/>
      <name val="Arial"/>
      <family val="2"/>
    </font>
    <font>
      <u/>
      <sz val="10"/>
      <color indexed="12"/>
      <name val="Arial"/>
      <family val="2"/>
    </font>
    <font>
      <u/>
      <sz val="11"/>
      <color indexed="12"/>
      <name val="Arial"/>
      <family val="2"/>
    </font>
    <font>
      <b/>
      <sz val="11"/>
      <name val="Arial"/>
      <family val="2"/>
    </font>
    <font>
      <sz val="11"/>
      <name val="Arial"/>
      <family val="2"/>
    </font>
    <font>
      <b/>
      <sz val="11"/>
      <color indexed="8"/>
      <name val="Arial"/>
      <family val="2"/>
    </font>
    <font>
      <sz val="11"/>
      <color indexed="10"/>
      <name val="Arial"/>
      <family val="2"/>
    </font>
    <font>
      <b/>
      <sz val="11"/>
      <color indexed="10"/>
      <name val="Arial"/>
      <family val="2"/>
    </font>
    <font>
      <sz val="10"/>
      <color rgb="FF000000"/>
      <name val="Times New Roman"/>
      <family val="1"/>
    </font>
    <font>
      <b/>
      <sz val="12"/>
      <name val="Times New Roman"/>
      <family val="1"/>
    </font>
    <font>
      <sz val="11"/>
      <color theme="1"/>
      <name val="Times New Roman"/>
      <family val="1"/>
    </font>
    <font>
      <b/>
      <sz val="16"/>
      <name val="Times New Roman"/>
      <family val="1"/>
    </font>
    <font>
      <sz val="16"/>
      <color theme="1"/>
      <name val="Times New Roman"/>
      <family val="1"/>
    </font>
    <font>
      <b/>
      <sz val="18"/>
      <color theme="1"/>
      <name val="Times New Roman"/>
      <family val="1"/>
    </font>
    <font>
      <b/>
      <sz val="12"/>
      <color rgb="FF000000"/>
      <name val="Times New Roman"/>
      <family val="1"/>
    </font>
    <font>
      <b/>
      <sz val="12"/>
      <color rgb="FFFF0000"/>
      <name val="Times New Roman"/>
      <family val="1"/>
    </font>
    <font>
      <sz val="11"/>
      <color rgb="FFFF0000"/>
      <name val="Times New Roman"/>
      <family val="1"/>
    </font>
    <font>
      <sz val="11"/>
      <color rgb="FF000000"/>
      <name val="Times New Roman"/>
      <family val="1"/>
    </font>
    <font>
      <sz val="9"/>
      <color theme="1"/>
      <name val="Times New Roman"/>
      <family val="1"/>
    </font>
    <font>
      <i/>
      <sz val="11"/>
      <color theme="1" tint="0.249977111117893"/>
      <name val="Times New Roman"/>
      <family val="1"/>
    </font>
    <font>
      <b/>
      <sz val="11"/>
      <color rgb="FF000000"/>
      <name val="Times New Roman"/>
      <family val="1"/>
    </font>
    <font>
      <sz val="12"/>
      <color rgb="FFFF0000"/>
      <name val="Times New Roman"/>
      <family val="1"/>
    </font>
    <font>
      <b/>
      <i/>
      <sz val="10"/>
      <color rgb="FF000000"/>
      <name val="Times New Roman"/>
      <family val="1"/>
    </font>
    <font>
      <i/>
      <sz val="10"/>
      <color rgb="FF000000"/>
      <name val="Times New Roman"/>
      <family val="1"/>
    </font>
    <font>
      <sz val="10"/>
      <name val="Times New Roman"/>
      <family val="1"/>
    </font>
    <font>
      <sz val="10"/>
      <color theme="0"/>
      <name val="Times New Roman"/>
      <family val="1"/>
    </font>
    <font>
      <sz val="10"/>
      <color theme="1"/>
      <name val="Calibri"/>
      <family val="2"/>
      <scheme val="minor"/>
    </font>
    <font>
      <b/>
      <sz val="9"/>
      <name val="Times New Roman"/>
      <family val="1"/>
    </font>
    <font>
      <b/>
      <sz val="11"/>
      <name val="Calibri"/>
      <family val="2"/>
      <scheme val="minor"/>
    </font>
    <font>
      <sz val="11"/>
      <color rgb="FF000000"/>
      <name val="Calibri"/>
      <family val="2"/>
    </font>
    <font>
      <sz val="11"/>
      <color theme="0"/>
      <name val="Calibri"/>
      <family val="2"/>
      <scheme val="minor"/>
    </font>
    <font>
      <b/>
      <sz val="12"/>
      <color theme="5" tint="-0.249977111117893"/>
      <name val="Times New Roman"/>
      <family val="1"/>
    </font>
    <font>
      <sz val="11"/>
      <color theme="5" tint="-0.249977111117893"/>
      <name val="Times New Roman"/>
      <family val="1"/>
    </font>
    <font>
      <b/>
      <sz val="10"/>
      <name val="Arial"/>
      <family val="2"/>
    </font>
    <font>
      <b/>
      <sz val="8"/>
      <name val="Arial"/>
      <family val="2"/>
    </font>
    <font>
      <b/>
      <sz val="12"/>
      <name val="Arial"/>
      <family val="2"/>
    </font>
    <font>
      <b/>
      <sz val="20"/>
      <name val="Arial"/>
      <family val="2"/>
    </font>
    <font>
      <b/>
      <sz val="7"/>
      <name val="Arial"/>
      <family val="2"/>
    </font>
    <font>
      <b/>
      <sz val="13"/>
      <name val="Arial"/>
      <family val="2"/>
    </font>
    <font>
      <b/>
      <sz val="14"/>
      <color theme="0"/>
      <name val="Arial"/>
      <family val="2"/>
    </font>
    <font>
      <b/>
      <sz val="14"/>
      <color indexed="8"/>
      <name val="Arial"/>
      <family val="2"/>
    </font>
    <font>
      <u/>
      <sz val="10"/>
      <name val="Arial"/>
      <family val="2"/>
    </font>
    <font>
      <sz val="10"/>
      <color rgb="FF000000"/>
      <name val="Arial"/>
      <family val="2"/>
    </font>
    <font>
      <i/>
      <sz val="11"/>
      <name val="Arial"/>
      <family val="2"/>
    </font>
    <font>
      <b/>
      <sz val="11"/>
      <color rgb="FFD7642D"/>
      <name val="Arial"/>
      <family val="2"/>
    </font>
    <font>
      <b/>
      <sz val="6.5"/>
      <name val="Arial"/>
      <family val="2"/>
    </font>
    <font>
      <b/>
      <sz val="10"/>
      <color theme="0"/>
      <name val="Arial"/>
      <family val="2"/>
    </font>
    <font>
      <b/>
      <sz val="11"/>
      <color theme="0" tint="-0.14999847407452621"/>
      <name val="Calibri"/>
      <family val="2"/>
      <scheme val="minor"/>
    </font>
    <font>
      <sz val="10"/>
      <color theme="0" tint="-0.499984740745262"/>
      <name val="Arial"/>
      <family val="2"/>
    </font>
    <font>
      <sz val="10"/>
      <color theme="1"/>
      <name val="Arial"/>
      <family val="2"/>
    </font>
    <font>
      <sz val="8"/>
      <color theme="1"/>
      <name val="Arial"/>
      <family val="2"/>
    </font>
    <font>
      <b/>
      <sz val="11"/>
      <color rgb="FF000000"/>
      <name val="Calibri"/>
      <family val="2"/>
    </font>
    <font>
      <b/>
      <sz val="24"/>
      <color rgb="FFFF0000"/>
      <name val="Sitka Small"/>
    </font>
    <font>
      <b/>
      <sz val="24"/>
      <color theme="1"/>
      <name val="Times New Roman"/>
      <family val="1"/>
    </font>
    <font>
      <b/>
      <sz val="22"/>
      <color rgb="FF000000"/>
      <name val="Calibri"/>
      <family val="2"/>
    </font>
    <font>
      <b/>
      <sz val="11"/>
      <color rgb="FFFF0000"/>
      <name val="Calibri"/>
      <family val="2"/>
      <scheme val="minor"/>
    </font>
  </fonts>
  <fills count="42">
    <fill>
      <patternFill patternType="none"/>
    </fill>
    <fill>
      <patternFill patternType="gray125"/>
    </fill>
    <fill>
      <patternFill patternType="solid">
        <fgColor rgb="FF000000"/>
        <bgColor indexed="64"/>
      </patternFill>
    </fill>
    <fill>
      <patternFill patternType="lightGrid">
        <fgColor rgb="FFFFFF00"/>
        <bgColor theme="0"/>
      </patternFill>
    </fill>
    <fill>
      <patternFill patternType="solid">
        <fgColor rgb="FFFFFFFF"/>
        <bgColor indexed="64"/>
      </patternFill>
    </fill>
    <fill>
      <patternFill patternType="solid">
        <fgColor rgb="FFBFBFBF"/>
        <bgColor indexed="64"/>
      </patternFill>
    </fill>
    <fill>
      <patternFill patternType="solid">
        <fgColor indexed="9"/>
        <bgColor indexed="64"/>
      </patternFill>
    </fill>
    <fill>
      <patternFill patternType="solid">
        <fgColor theme="0"/>
        <bgColor indexed="64"/>
      </patternFill>
    </fill>
    <fill>
      <patternFill patternType="solid">
        <fgColor theme="3" tint="-0.249977111117893"/>
        <bgColor indexed="64"/>
      </patternFill>
    </fill>
    <fill>
      <patternFill patternType="solid">
        <fgColor theme="1"/>
        <bgColor indexed="64"/>
      </patternFill>
    </fill>
    <fill>
      <patternFill patternType="solid">
        <fgColor theme="3" tint="0.79998168889431442"/>
        <bgColor indexed="64"/>
      </patternFill>
    </fill>
    <fill>
      <patternFill patternType="solid">
        <fgColor rgb="FFF2F2F2"/>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theme="7" tint="0.79998168889431442"/>
        <bgColor indexed="64"/>
      </patternFill>
    </fill>
    <fill>
      <patternFill patternType="solid">
        <fgColor theme="2" tint="-0.74999237037263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1" tint="0.499984740745262"/>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rgb="FFD8F0EF"/>
        <bgColor indexed="64"/>
      </patternFill>
    </fill>
    <fill>
      <patternFill patternType="solid">
        <fgColor rgb="FF41AFAA"/>
        <bgColor indexed="64"/>
      </patternFill>
    </fill>
    <fill>
      <patternFill patternType="solid">
        <fgColor rgb="FFC2E8E6"/>
        <bgColor indexed="64"/>
      </patternFill>
    </fill>
    <fill>
      <patternFill patternType="solid">
        <fgColor rgb="FF88D2CE"/>
        <bgColor indexed="64"/>
      </patternFill>
    </fill>
    <fill>
      <patternFill patternType="solid">
        <fgColor rgb="FFB9C337"/>
        <bgColor indexed="64"/>
      </patternFill>
    </fill>
    <fill>
      <patternFill patternType="solid">
        <fgColor rgb="FF79CDC9"/>
        <bgColor indexed="64"/>
      </patternFill>
    </fill>
    <fill>
      <patternFill patternType="solid">
        <fgColor theme="5" tint="-0.249977111117893"/>
        <bgColor indexed="64"/>
      </patternFill>
    </fill>
    <fill>
      <patternFill patternType="solid">
        <fgColor theme="4" tint="-0.249977111117893"/>
        <bgColor indexed="64"/>
      </patternFill>
    </fill>
    <fill>
      <patternFill patternType="solid">
        <fgColor rgb="FFB7C7E2"/>
        <bgColor indexed="64"/>
      </patternFill>
    </fill>
    <fill>
      <patternFill patternType="solid">
        <fgColor rgb="FFC4D9F1"/>
        <bgColor indexed="64"/>
      </patternFill>
    </fill>
    <fill>
      <patternFill patternType="solid">
        <fgColor rgb="FFC59EE0"/>
        <bgColor indexed="64"/>
      </patternFill>
    </fill>
    <fill>
      <patternFill patternType="solid">
        <fgColor rgb="FFE1CFEF"/>
        <bgColor indexed="64"/>
      </patternFill>
    </fill>
    <fill>
      <patternFill patternType="solid">
        <fgColor rgb="FF92C53F"/>
        <bgColor indexed="64"/>
      </patternFill>
    </fill>
    <fill>
      <patternFill patternType="solid">
        <fgColor rgb="FFD2E8B3"/>
        <bgColor indexed="64"/>
      </patternFill>
    </fill>
    <fill>
      <patternFill patternType="solid">
        <fgColor rgb="FFECE878"/>
        <bgColor indexed="64"/>
      </patternFill>
    </fill>
    <fill>
      <patternFill patternType="solid">
        <fgColor rgb="FFF2EFA5"/>
        <bgColor indexed="64"/>
      </patternFill>
    </fill>
    <fill>
      <patternFill patternType="lightGrid">
        <fgColor rgb="FFFFFF00"/>
        <bgColor theme="7" tint="0.39997558519241921"/>
      </patternFill>
    </fill>
  </fills>
  <borders count="71">
    <border>
      <left/>
      <right/>
      <top/>
      <bottom/>
      <diagonal/>
    </border>
    <border>
      <left/>
      <right/>
      <top style="thin">
        <color indexed="64"/>
      </top>
      <bottom/>
      <diagonal/>
    </border>
    <border>
      <left/>
      <right/>
      <top/>
      <bottom style="thin">
        <color indexed="64"/>
      </bottom>
      <diagonal/>
    </border>
    <border>
      <left style="medium">
        <color indexed="64"/>
      </left>
      <right style="thin">
        <color rgb="FFFFFFFF"/>
      </right>
      <top style="thin">
        <color rgb="FFFFFFFF"/>
      </top>
      <bottom style="medium">
        <color indexed="64"/>
      </bottom>
      <diagonal/>
    </border>
    <border>
      <left style="thin">
        <color rgb="FFFFFFFF"/>
      </left>
      <right style="medium">
        <color indexed="64"/>
      </right>
      <top style="thin">
        <color rgb="FFFFFFFF"/>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indexed="64"/>
      </top>
      <bottom style="medium">
        <color indexed="64"/>
      </bottom>
      <diagonal/>
    </border>
    <border>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theme="0"/>
      </right>
      <top style="medium">
        <color indexed="64"/>
      </top>
      <bottom style="thin">
        <color indexed="64"/>
      </bottom>
      <diagonal/>
    </border>
    <border>
      <left style="thin">
        <color theme="0"/>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thin">
        <color rgb="FF000000"/>
      </bottom>
      <diagonal/>
    </border>
    <border>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style="medium">
        <color indexed="64"/>
      </right>
      <top style="thin">
        <color rgb="FF000000"/>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thin">
        <color theme="1" tint="0.24994659260841701"/>
      </right>
      <top style="medium">
        <color indexed="64"/>
      </top>
      <bottom style="medium">
        <color indexed="64"/>
      </bottom>
      <diagonal/>
    </border>
    <border>
      <left style="thin">
        <color theme="1" tint="0.24994659260841701"/>
      </left>
      <right style="thin">
        <color theme="1" tint="0.24994659260841701"/>
      </right>
      <top style="medium">
        <color indexed="64"/>
      </top>
      <bottom style="medium">
        <color indexed="64"/>
      </bottom>
      <diagonal/>
    </border>
    <border>
      <left style="thin">
        <color theme="1" tint="0.24994659260841701"/>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top style="medium">
        <color indexed="64"/>
      </top>
      <bottom style="medium">
        <color indexed="64"/>
      </bottom>
      <diagonal/>
    </border>
    <border>
      <left style="thin">
        <color theme="1" tint="0.24994659260841701"/>
      </left>
      <right style="thin">
        <color theme="1" tint="0.34998626667073579"/>
      </right>
      <top style="medium">
        <color indexed="64"/>
      </top>
      <bottom style="medium">
        <color indexed="64"/>
      </bottom>
      <diagonal/>
    </border>
    <border>
      <left style="thin">
        <color theme="1" tint="0.34998626667073579"/>
      </left>
      <right style="thin">
        <color theme="1" tint="0.34998626667073579"/>
      </right>
      <top style="medium">
        <color indexed="64"/>
      </top>
      <bottom style="medium">
        <color indexed="64"/>
      </bottom>
      <diagonal/>
    </border>
    <border>
      <left style="thin">
        <color theme="1" tint="0.34998626667073579"/>
      </left>
      <right style="dotted">
        <color indexed="64"/>
      </right>
      <top style="medium">
        <color indexed="64"/>
      </top>
      <bottom style="medium">
        <color indexed="64"/>
      </bottom>
      <diagonal/>
    </border>
    <border>
      <left style="dotted">
        <color indexed="64"/>
      </left>
      <right style="medium">
        <color indexed="64"/>
      </right>
      <top style="thin">
        <color indexed="64"/>
      </top>
      <bottom style="thin">
        <color indexed="64"/>
      </bottom>
      <diagonal/>
    </border>
    <border>
      <left style="thin">
        <color indexed="64"/>
      </left>
      <right style="thin">
        <color theme="1" tint="0.34998626667073579"/>
      </right>
      <top style="medium">
        <color indexed="64"/>
      </top>
      <bottom style="thin">
        <color indexed="64"/>
      </bottom>
      <diagonal/>
    </border>
    <border>
      <left style="thin">
        <color theme="1" tint="0.34998626667073579"/>
      </left>
      <right style="thin">
        <color theme="1" tint="0.34998626667073579"/>
      </right>
      <top style="medium">
        <color indexed="64"/>
      </top>
      <bottom style="thin">
        <color indexed="64"/>
      </bottom>
      <diagonal/>
    </border>
    <border>
      <left style="thin">
        <color theme="1" tint="0.34998626667073579"/>
      </left>
      <right style="dotted">
        <color indexed="64"/>
      </right>
      <top style="medium">
        <color indexed="64"/>
      </top>
      <bottom style="thin">
        <color indexed="64"/>
      </bottom>
      <diagonal/>
    </border>
    <border>
      <left style="dotted">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style="thin">
        <color theme="0"/>
      </left>
      <right style="thin">
        <color theme="0"/>
      </right>
      <top style="medium">
        <color indexed="64"/>
      </top>
      <bottom style="thin">
        <color indexed="64"/>
      </bottom>
      <diagonal/>
    </border>
    <border>
      <left style="medium">
        <color indexed="64"/>
      </left>
      <right style="thin">
        <color theme="0"/>
      </right>
      <top style="medium">
        <color indexed="64"/>
      </top>
      <bottom style="medium">
        <color indexed="64"/>
      </bottom>
      <diagonal/>
    </border>
    <border>
      <left style="thin">
        <color theme="0"/>
      </left>
      <right style="medium">
        <color indexed="64"/>
      </right>
      <top style="medium">
        <color indexed="64"/>
      </top>
      <bottom style="medium">
        <color indexed="64"/>
      </bottom>
      <diagonal/>
    </border>
    <border>
      <left style="dotted">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theme="1" tint="0.34998626667073579"/>
      </right>
      <top/>
      <bottom style="thin">
        <color indexed="64"/>
      </bottom>
      <diagonal/>
    </border>
    <border>
      <left style="thin">
        <color theme="1" tint="0.34998626667073579"/>
      </left>
      <right style="thin">
        <color theme="1" tint="0.34998626667073579"/>
      </right>
      <top/>
      <bottom style="thin">
        <color indexed="64"/>
      </bottom>
      <diagonal/>
    </border>
    <border>
      <left style="thin">
        <color theme="1" tint="0.34998626667073579"/>
      </left>
      <right style="dotted">
        <color indexed="64"/>
      </right>
      <top/>
      <bottom style="thin">
        <color indexed="64"/>
      </bottom>
      <diagonal/>
    </border>
    <border>
      <left style="medium">
        <color indexed="64"/>
      </left>
      <right style="thin">
        <color theme="1" tint="0.24994659260841701"/>
      </right>
      <top style="thin">
        <color indexed="64"/>
      </top>
      <bottom style="thin">
        <color indexed="64"/>
      </bottom>
      <diagonal/>
    </border>
    <border>
      <left style="thin">
        <color theme="1" tint="0.24994659260841701"/>
      </left>
      <right style="thin">
        <color theme="1" tint="0.24994659260841701"/>
      </right>
      <top style="thin">
        <color indexed="64"/>
      </top>
      <bottom style="thin">
        <color indexed="64"/>
      </bottom>
      <diagonal/>
    </border>
    <border>
      <left style="thin">
        <color theme="1" tint="0.24994659260841701"/>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5">
    <xf numFmtId="0" fontId="0" fillId="0" borderId="0"/>
    <xf numFmtId="43" fontId="3" fillId="0" borderId="0" applyFont="0" applyFill="0" applyBorder="0" applyAlignment="0" applyProtection="0"/>
    <xf numFmtId="0" fontId="5" fillId="0" borderId="0"/>
    <xf numFmtId="0" fontId="8"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0" borderId="0" applyNumberFormat="0" applyFill="0" applyBorder="0" applyAlignment="0" applyProtection="0">
      <alignment vertical="top"/>
      <protection locked="0"/>
    </xf>
    <xf numFmtId="0" fontId="11" fillId="0" borderId="0" applyNumberFormat="0" applyFill="0" applyBorder="0" applyAlignment="0" applyProtection="0">
      <alignment vertical="top"/>
      <protection locked="0"/>
    </xf>
    <xf numFmtId="0" fontId="5" fillId="0" borderId="0"/>
    <xf numFmtId="0" fontId="18" fillId="0" borderId="0"/>
    <xf numFmtId="0" fontId="3" fillId="0" borderId="0"/>
    <xf numFmtId="0" fontId="5" fillId="0" borderId="0"/>
    <xf numFmtId="0" fontId="5" fillId="0" borderId="0"/>
    <xf numFmtId="0" fontId="3" fillId="0" borderId="0"/>
    <xf numFmtId="0" fontId="3" fillId="0" borderId="0"/>
    <xf numFmtId="0" fontId="3" fillId="0" borderId="0"/>
  </cellStyleXfs>
  <cellXfs count="564">
    <xf numFmtId="0" fontId="0" fillId="0" borderId="0" xfId="0"/>
    <xf numFmtId="0" fontId="1" fillId="2" borderId="3" xfId="0" applyFont="1" applyFill="1" applyBorder="1" applyAlignment="1">
      <alignment horizontal="center"/>
    </xf>
    <xf numFmtId="0" fontId="1" fillId="2" borderId="4" xfId="0" applyFont="1" applyFill="1" applyBorder="1" applyAlignment="1">
      <alignment horizontal="center"/>
    </xf>
    <xf numFmtId="49" fontId="0" fillId="0" borderId="5" xfId="0" applyNumberFormat="1" applyBorder="1"/>
    <xf numFmtId="0" fontId="0" fillId="0" borderId="6" xfId="0" applyBorder="1"/>
    <xf numFmtId="49" fontId="0" fillId="0" borderId="9" xfId="0" applyNumberFormat="1" applyBorder="1"/>
    <xf numFmtId="0" fontId="0" fillId="0" borderId="10" xfId="0" applyBorder="1"/>
    <xf numFmtId="0" fontId="0" fillId="0" borderId="0" xfId="0" applyBorder="1"/>
    <xf numFmtId="0" fontId="4" fillId="8" borderId="5" xfId="9" applyFont="1" applyFill="1" applyBorder="1" applyAlignment="1">
      <alignment horizontal="center" vertical="center" wrapText="1"/>
    </xf>
    <xf numFmtId="0" fontId="4" fillId="8" borderId="6" xfId="9" applyFont="1" applyFill="1" applyBorder="1" applyAlignment="1">
      <alignment horizontal="center" vertical="center" wrapText="1"/>
    </xf>
    <xf numFmtId="0" fontId="4" fillId="9" borderId="17" xfId="0" applyFont="1" applyFill="1" applyBorder="1" applyAlignment="1">
      <alignment horizontal="center"/>
    </xf>
    <xf numFmtId="0" fontId="4" fillId="9" borderId="29" xfId="0" applyFont="1" applyFill="1" applyBorder="1" applyAlignment="1">
      <alignment horizontal="center"/>
    </xf>
    <xf numFmtId="0" fontId="4" fillId="9" borderId="30" xfId="0" applyFont="1" applyFill="1" applyBorder="1" applyAlignment="1">
      <alignment horizontal="center"/>
    </xf>
    <xf numFmtId="0" fontId="4" fillId="9" borderId="19" xfId="0" applyFont="1" applyFill="1" applyBorder="1" applyAlignment="1">
      <alignment horizontal="center"/>
    </xf>
    <xf numFmtId="0" fontId="2" fillId="10" borderId="7" xfId="9" applyFont="1" applyFill="1" applyBorder="1" applyAlignment="1">
      <alignment horizontal="left" vertical="center" wrapText="1"/>
    </xf>
    <xf numFmtId="0" fontId="2" fillId="10" borderId="8" xfId="9" applyFont="1" applyFill="1" applyBorder="1" applyAlignment="1">
      <alignment horizontal="center" vertical="center" wrapText="1"/>
    </xf>
    <xf numFmtId="49" fontId="0" fillId="0" borderId="1" xfId="0" applyNumberFormat="1" applyBorder="1"/>
    <xf numFmtId="0" fontId="5" fillId="0" borderId="21" xfId="0" applyFont="1" applyBorder="1"/>
    <xf numFmtId="0" fontId="0" fillId="0" borderId="22" xfId="0" applyBorder="1"/>
    <xf numFmtId="49" fontId="0" fillId="0" borderId="0" xfId="0" applyNumberFormat="1" applyBorder="1"/>
    <xf numFmtId="0" fontId="5" fillId="0" borderId="27" xfId="0" applyFont="1" applyBorder="1"/>
    <xf numFmtId="0" fontId="0" fillId="0" borderId="28" xfId="0" applyBorder="1"/>
    <xf numFmtId="0" fontId="2" fillId="10" borderId="9" xfId="9" applyFont="1" applyFill="1" applyBorder="1" applyAlignment="1">
      <alignment horizontal="left" vertical="center" wrapText="1"/>
    </xf>
    <xf numFmtId="0" fontId="2" fillId="10" borderId="10" xfId="9" applyFont="1" applyFill="1" applyBorder="1" applyAlignment="1">
      <alignment horizontal="center" vertical="center" wrapText="1"/>
    </xf>
    <xf numFmtId="0" fontId="0" fillId="0" borderId="0" xfId="0" applyAlignment="1">
      <alignment horizontal="center" vertical="center"/>
    </xf>
    <xf numFmtId="0" fontId="0" fillId="0" borderId="0" xfId="0" applyAlignment="1">
      <alignment horizontal="center"/>
    </xf>
    <xf numFmtId="0" fontId="20" fillId="16" borderId="43" xfId="0" applyFont="1" applyFill="1" applyBorder="1" applyAlignment="1" applyProtection="1">
      <alignment horizontal="center" vertical="center"/>
    </xf>
    <xf numFmtId="0" fontId="20" fillId="16" borderId="44" xfId="0" applyFont="1" applyFill="1" applyBorder="1" applyProtection="1"/>
    <xf numFmtId="0" fontId="20" fillId="0" borderId="0" xfId="0" applyFont="1" applyProtection="1"/>
    <xf numFmtId="0" fontId="20" fillId="0" borderId="0" xfId="0" applyFont="1" applyAlignment="1" applyProtection="1">
      <alignment horizontal="right"/>
    </xf>
    <xf numFmtId="0" fontId="20" fillId="0" borderId="0" xfId="0" applyFont="1" applyAlignment="1" applyProtection="1">
      <alignment horizontal="center" vertical="center"/>
    </xf>
    <xf numFmtId="0" fontId="19" fillId="11" borderId="31" xfId="8" applyFont="1" applyFill="1" applyBorder="1" applyAlignment="1" applyProtection="1">
      <alignment horizontal="left" vertical="center"/>
    </xf>
    <xf numFmtId="0" fontId="20" fillId="0" borderId="32" xfId="0" applyFont="1" applyBorder="1" applyProtection="1"/>
    <xf numFmtId="0" fontId="21" fillId="11" borderId="32" xfId="8" applyFont="1" applyFill="1" applyBorder="1" applyAlignment="1" applyProtection="1">
      <alignment horizontal="left" vertical="center"/>
    </xf>
    <xf numFmtId="0" fontId="22" fillId="0" borderId="32" xfId="0" applyFont="1" applyBorder="1" applyProtection="1"/>
    <xf numFmtId="0" fontId="21" fillId="11" borderId="32" xfId="8" applyFont="1" applyFill="1" applyBorder="1" applyAlignment="1" applyProtection="1">
      <alignment vertical="center"/>
    </xf>
    <xf numFmtId="0" fontId="19" fillId="12" borderId="27" xfId="8" applyFont="1" applyFill="1" applyBorder="1" applyAlignment="1" applyProtection="1">
      <alignment horizontal="left" vertical="center"/>
    </xf>
    <xf numFmtId="0" fontId="20" fillId="0" borderId="0" xfId="0" applyFont="1" applyFill="1" applyProtection="1"/>
    <xf numFmtId="0" fontId="19" fillId="12" borderId="32" xfId="8" applyFont="1" applyFill="1" applyBorder="1" applyAlignment="1" applyProtection="1">
      <alignment horizontal="left" vertical="center"/>
    </xf>
    <xf numFmtId="0" fontId="20" fillId="12" borderId="32" xfId="0" applyFont="1" applyFill="1" applyBorder="1" applyProtection="1"/>
    <xf numFmtId="0" fontId="0" fillId="0" borderId="0" xfId="0" applyProtection="1"/>
    <xf numFmtId="0" fontId="25" fillId="3" borderId="34" xfId="0" applyFont="1" applyFill="1" applyBorder="1" applyAlignment="1" applyProtection="1">
      <alignment horizontal="left" vertical="center" wrapText="1"/>
    </xf>
    <xf numFmtId="0" fontId="26" fillId="3" borderId="34" xfId="0" applyFont="1" applyFill="1" applyBorder="1" applyAlignment="1" applyProtection="1">
      <alignment horizontal="left" vertical="center" wrapText="1"/>
    </xf>
    <xf numFmtId="0" fontId="27" fillId="12" borderId="36" xfId="0" applyFont="1" applyFill="1" applyBorder="1" applyAlignment="1" applyProtection="1">
      <alignment horizontal="left" vertical="center" wrapText="1"/>
    </xf>
    <xf numFmtId="0" fontId="26" fillId="14" borderId="11" xfId="0" applyFont="1" applyFill="1" applyBorder="1" applyAlignment="1" applyProtection="1">
      <alignment horizontal="left" vertical="center" wrapText="1"/>
    </xf>
    <xf numFmtId="0" fontId="29" fillId="14" borderId="37" xfId="0" applyFont="1" applyFill="1" applyBorder="1" applyAlignment="1" applyProtection="1">
      <alignment horizontal="left" vertical="center" wrapText="1"/>
    </xf>
    <xf numFmtId="0" fontId="31" fillId="3" borderId="26" xfId="0" applyFont="1" applyFill="1" applyBorder="1" applyAlignment="1" applyProtection="1">
      <alignment horizontal="left" vertical="center" wrapText="1"/>
    </xf>
    <xf numFmtId="0" fontId="26" fillId="3" borderId="26" xfId="0" applyFont="1" applyFill="1" applyBorder="1" applyAlignment="1" applyProtection="1">
      <alignment horizontal="left" vertical="center" wrapText="1"/>
    </xf>
    <xf numFmtId="0" fontId="30" fillId="12" borderId="39" xfId="0" applyFont="1" applyFill="1" applyBorder="1" applyAlignment="1" applyProtection="1">
      <alignment horizontal="left" vertical="center" wrapText="1"/>
    </xf>
    <xf numFmtId="0" fontId="0" fillId="0" borderId="0" xfId="0" applyFont="1" applyProtection="1"/>
    <xf numFmtId="0" fontId="25" fillId="3" borderId="11" xfId="0" applyFont="1" applyFill="1" applyBorder="1" applyAlignment="1" applyProtection="1">
      <alignment horizontal="left" vertical="center" wrapText="1"/>
    </xf>
    <xf numFmtId="0" fontId="26" fillId="3" borderId="11" xfId="0" applyFont="1" applyFill="1" applyBorder="1" applyAlignment="1" applyProtection="1">
      <alignment horizontal="left" vertical="center" wrapText="1"/>
    </xf>
    <xf numFmtId="0" fontId="27" fillId="12" borderId="37" xfId="0" applyFont="1" applyFill="1" applyBorder="1" applyAlignment="1" applyProtection="1">
      <alignment horizontal="left" vertical="center" wrapText="1"/>
    </xf>
    <xf numFmtId="0" fontId="25" fillId="3" borderId="26" xfId="0" applyFont="1" applyFill="1" applyBorder="1" applyAlignment="1" applyProtection="1">
      <alignment horizontal="left" vertical="center" wrapText="1"/>
    </xf>
    <xf numFmtId="0" fontId="27" fillId="12" borderId="39" xfId="0" applyFont="1" applyFill="1" applyBorder="1" applyAlignment="1" applyProtection="1">
      <alignment horizontal="left" vertical="center" wrapText="1"/>
    </xf>
    <xf numFmtId="0" fontId="26" fillId="14" borderId="34" xfId="0" applyFont="1" applyFill="1" applyBorder="1" applyAlignment="1" applyProtection="1">
      <alignment horizontal="left" vertical="center" wrapText="1"/>
    </xf>
    <xf numFmtId="0" fontId="0" fillId="0" borderId="0" xfId="0" applyAlignment="1" applyProtection="1">
      <alignment horizontal="right"/>
    </xf>
    <xf numFmtId="0" fontId="0" fillId="0" borderId="0" xfId="0" applyAlignment="1" applyProtection="1">
      <alignment horizontal="center" vertical="center"/>
    </xf>
    <xf numFmtId="0" fontId="32" fillId="0" borderId="0" xfId="8" applyFont="1" applyAlignment="1" applyProtection="1"/>
    <xf numFmtId="0" fontId="33" fillId="0" borderId="0" xfId="8" applyFont="1" applyAlignment="1" applyProtection="1"/>
    <xf numFmtId="0" fontId="33" fillId="0" borderId="0" xfId="8" applyFont="1" applyProtection="1"/>
    <xf numFmtId="0" fontId="18" fillId="0" borderId="0" xfId="8" applyFont="1" applyProtection="1"/>
    <xf numFmtId="0" fontId="0" fillId="0" borderId="0" xfId="0" applyFill="1" applyBorder="1" applyProtection="1"/>
    <xf numFmtId="0" fontId="34" fillId="0" borderId="11" xfId="8" applyFont="1" applyBorder="1" applyAlignment="1" applyProtection="1">
      <alignment horizontal="left" vertical="center"/>
    </xf>
    <xf numFmtId="0" fontId="34" fillId="0" borderId="0" xfId="8" applyFont="1" applyAlignment="1" applyProtection="1">
      <alignment horizontal="left" vertical="center" wrapText="1" indent="1"/>
    </xf>
    <xf numFmtId="0" fontId="34" fillId="0" borderId="0" xfId="8" applyFont="1" applyAlignment="1" applyProtection="1">
      <alignment vertical="center"/>
    </xf>
    <xf numFmtId="0" fontId="18" fillId="15" borderId="11" xfId="8" applyFont="1" applyFill="1" applyBorder="1" applyAlignment="1" applyProtection="1">
      <alignment horizontal="left" vertical="center"/>
    </xf>
    <xf numFmtId="0" fontId="18" fillId="0" borderId="0" xfId="8" applyFont="1" applyAlignment="1" applyProtection="1"/>
    <xf numFmtId="0" fontId="36" fillId="0" borderId="0" xfId="0" applyFont="1" applyAlignment="1" applyProtection="1"/>
    <xf numFmtId="0" fontId="36" fillId="0" borderId="0" xfId="0" applyFont="1" applyProtection="1"/>
    <xf numFmtId="0" fontId="34" fillId="0" borderId="0" xfId="8" applyFont="1" applyAlignment="1" applyProtection="1">
      <alignment horizontal="left" vertical="center"/>
    </xf>
    <xf numFmtId="0" fontId="34" fillId="0" borderId="14" xfId="8" applyFont="1" applyBorder="1" applyAlignment="1" applyProtection="1">
      <alignment horizontal="left" vertical="center" wrapText="1" indent="1"/>
    </xf>
    <xf numFmtId="0" fontId="34" fillId="15" borderId="14" xfId="8" applyFont="1" applyFill="1" applyBorder="1" applyAlignment="1" applyProtection="1">
      <alignment horizontal="left" vertical="center" wrapText="1" indent="1"/>
    </xf>
    <xf numFmtId="0" fontId="34" fillId="16" borderId="14" xfId="8" applyFont="1" applyFill="1" applyBorder="1" applyAlignment="1" applyProtection="1">
      <alignment horizontal="left" vertical="center" wrapText="1" indent="1"/>
    </xf>
    <xf numFmtId="0" fontId="35" fillId="16" borderId="13" xfId="8" applyFont="1" applyFill="1" applyBorder="1" applyAlignment="1" applyProtection="1">
      <alignment horizontal="left" vertical="center"/>
    </xf>
    <xf numFmtId="0" fontId="21" fillId="11" borderId="33" xfId="8" applyFont="1" applyFill="1" applyBorder="1" applyAlignment="1" applyProtection="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xf>
    <xf numFmtId="0" fontId="0" fillId="0" borderId="0" xfId="0" applyFill="1"/>
    <xf numFmtId="0" fontId="25" fillId="3" borderId="16" xfId="0" applyFont="1" applyFill="1" applyBorder="1" applyAlignment="1" applyProtection="1">
      <alignment horizontal="left" vertical="center" wrapText="1"/>
    </xf>
    <xf numFmtId="0" fontId="24" fillId="12" borderId="31" xfId="0" applyFont="1" applyFill="1" applyBorder="1" applyAlignment="1" applyProtection="1">
      <alignment horizontal="center" vertical="center" wrapText="1"/>
    </xf>
    <xf numFmtId="0" fontId="35" fillId="16" borderId="12" xfId="8" applyFont="1" applyFill="1" applyBorder="1" applyAlignment="1" applyProtection="1">
      <alignment horizontal="left" vertical="center"/>
    </xf>
    <xf numFmtId="0" fontId="37" fillId="11" borderId="25" xfId="1" applyNumberFormat="1" applyFont="1" applyFill="1" applyBorder="1" applyAlignment="1" applyProtection="1">
      <alignment horizontal="center" vertical="center" textRotation="90" wrapText="1"/>
    </xf>
    <xf numFmtId="0" fontId="34" fillId="0" borderId="12" xfId="8" applyFont="1" applyBorder="1" applyAlignment="1" applyProtection="1">
      <alignment horizontal="left" vertical="center"/>
    </xf>
    <xf numFmtId="0" fontId="18" fillId="17" borderId="11" xfId="8" applyFont="1" applyFill="1" applyBorder="1" applyAlignment="1" applyProtection="1">
      <alignment horizontal="left" vertical="center"/>
    </xf>
    <xf numFmtId="0" fontId="18" fillId="17" borderId="12" xfId="8" applyFont="1" applyFill="1" applyBorder="1" applyAlignment="1" applyProtection="1">
      <alignment horizontal="left" vertical="center"/>
    </xf>
    <xf numFmtId="0" fontId="34" fillId="17" borderId="14" xfId="8" applyFont="1" applyFill="1" applyBorder="1" applyAlignment="1" applyProtection="1">
      <alignment vertical="center"/>
    </xf>
    <xf numFmtId="0" fontId="4" fillId="18" borderId="0" xfId="0" applyFont="1" applyFill="1" applyAlignment="1">
      <alignment horizontal="center" vertical="center" wrapText="1"/>
    </xf>
    <xf numFmtId="0" fontId="0" fillId="19" borderId="0" xfId="0" applyFill="1" applyAlignment="1">
      <alignment vertical="center" wrapText="1"/>
    </xf>
    <xf numFmtId="0" fontId="0" fillId="15" borderId="0" xfId="0" applyFill="1"/>
    <xf numFmtId="0" fontId="0" fillId="15" borderId="0" xfId="0" applyFill="1" applyAlignment="1">
      <alignment horizontal="center" vertical="center"/>
    </xf>
    <xf numFmtId="0" fontId="0" fillId="15" borderId="0" xfId="0" applyFill="1" applyAlignment="1">
      <alignment horizontal="left" vertical="center"/>
    </xf>
    <xf numFmtId="0" fontId="4" fillId="20" borderId="0" xfId="0" applyFont="1" applyFill="1" applyAlignment="1">
      <alignment horizontal="left"/>
    </xf>
    <xf numFmtId="0" fontId="0" fillId="20" borderId="0" xfId="0" applyFill="1" applyAlignment="1">
      <alignment horizontal="center"/>
    </xf>
    <xf numFmtId="0" fontId="0" fillId="0" borderId="0" xfId="0" applyAlignment="1">
      <alignment horizontal="left"/>
    </xf>
    <xf numFmtId="0" fontId="0" fillId="0" borderId="0" xfId="0" quotePrefix="1" applyAlignment="1">
      <alignment horizontal="left"/>
    </xf>
    <xf numFmtId="0" fontId="0" fillId="0" borderId="13" xfId="0" applyBorder="1" applyAlignment="1">
      <alignment horizontal="center"/>
    </xf>
    <xf numFmtId="0" fontId="0" fillId="15" borderId="13" xfId="0" applyFill="1" applyBorder="1" applyAlignment="1">
      <alignment horizontal="center"/>
    </xf>
    <xf numFmtId="0" fontId="0" fillId="21" borderId="13" xfId="0" applyFill="1" applyBorder="1" applyAlignment="1">
      <alignment horizontal="center"/>
    </xf>
    <xf numFmtId="0" fontId="0" fillId="13" borderId="13" xfId="0" applyFill="1" applyBorder="1" applyAlignment="1">
      <alignment horizontal="center"/>
    </xf>
    <xf numFmtId="0" fontId="0" fillId="22" borderId="14" xfId="0" applyFill="1" applyBorder="1" applyAlignment="1">
      <alignment horizontal="left"/>
    </xf>
    <xf numFmtId="0" fontId="0" fillId="22" borderId="14" xfId="0" quotePrefix="1" applyFill="1" applyBorder="1" applyAlignment="1">
      <alignment horizontal="left"/>
    </xf>
    <xf numFmtId="0" fontId="0" fillId="15" borderId="0" xfId="0" applyFill="1" applyAlignment="1">
      <alignment horizontal="center"/>
    </xf>
    <xf numFmtId="0" fontId="0" fillId="21" borderId="0" xfId="0" applyFill="1" applyAlignment="1">
      <alignment horizontal="center"/>
    </xf>
    <xf numFmtId="0" fontId="0" fillId="13" borderId="0" xfId="0" applyFill="1" applyAlignment="1">
      <alignment horizontal="center"/>
    </xf>
    <xf numFmtId="0" fontId="0" fillId="22" borderId="0" xfId="0" applyFill="1"/>
    <xf numFmtId="0" fontId="0" fillId="15" borderId="0" xfId="0" applyFill="1" applyAlignment="1">
      <alignment wrapText="1"/>
    </xf>
    <xf numFmtId="0" fontId="0" fillId="13" borderId="0" xfId="0" applyFill="1" applyAlignment="1">
      <alignment horizontal="center" wrapText="1"/>
    </xf>
    <xf numFmtId="0" fontId="0" fillId="0" borderId="0" xfId="0" applyAlignment="1">
      <alignment vertical="top"/>
    </xf>
    <xf numFmtId="0" fontId="0" fillId="0" borderId="0" xfId="0" applyAlignment="1">
      <alignment horizontal="center" vertical="top"/>
    </xf>
    <xf numFmtId="0" fontId="0" fillId="0" borderId="0" xfId="0" applyAlignment="1">
      <alignment horizontal="left" vertical="top"/>
    </xf>
    <xf numFmtId="0" fontId="0" fillId="21" borderId="0" xfId="0" applyFill="1" applyAlignment="1">
      <alignment horizontal="center" vertical="top" wrapText="1"/>
    </xf>
    <xf numFmtId="0" fontId="0" fillId="13" borderId="0" xfId="0" applyFill="1" applyAlignment="1">
      <alignment horizontal="center" vertical="top" wrapText="1"/>
    </xf>
    <xf numFmtId="0" fontId="0" fillId="21" borderId="0" xfId="0" applyFill="1" applyAlignment="1">
      <alignment horizontal="center" vertical="top"/>
    </xf>
    <xf numFmtId="0" fontId="0" fillId="22" borderId="0" xfId="0" applyFill="1" applyAlignment="1">
      <alignment vertical="top"/>
    </xf>
    <xf numFmtId="0" fontId="0" fillId="20" borderId="0" xfId="0" applyFill="1" applyAlignment="1">
      <alignment horizontal="left"/>
    </xf>
    <xf numFmtId="0" fontId="38" fillId="0" borderId="0" xfId="0" applyFont="1" applyFill="1" applyAlignment="1">
      <alignment horizontal="left"/>
    </xf>
    <xf numFmtId="0" fontId="0" fillId="0" borderId="0" xfId="0" applyFill="1" applyAlignment="1">
      <alignment horizontal="left"/>
    </xf>
    <xf numFmtId="0" fontId="38" fillId="0" borderId="0" xfId="0" applyFont="1" applyFill="1" applyAlignment="1">
      <alignment horizontal="left" vertical="center"/>
    </xf>
    <xf numFmtId="0" fontId="0" fillId="19" borderId="11" xfId="0" applyFill="1" applyBorder="1" applyAlignment="1">
      <alignment horizontal="center"/>
    </xf>
    <xf numFmtId="0" fontId="21" fillId="22" borderId="45" xfId="8" applyFont="1" applyFill="1" applyBorder="1" applyAlignment="1" applyProtection="1">
      <alignment vertical="center"/>
    </xf>
    <xf numFmtId="0" fontId="20" fillId="22" borderId="46" xfId="0" applyFont="1" applyFill="1" applyBorder="1" applyProtection="1"/>
    <xf numFmtId="0" fontId="0" fillId="23" borderId="0" xfId="0" applyFill="1"/>
    <xf numFmtId="0" fontId="0" fillId="23" borderId="0" xfId="0" applyFill="1" applyAlignment="1">
      <alignment horizontal="center" vertical="center"/>
    </xf>
    <xf numFmtId="0" fontId="0" fillId="23" borderId="0" xfId="0" applyFill="1" applyAlignment="1">
      <alignment horizontal="left" vertical="center"/>
    </xf>
    <xf numFmtId="164" fontId="20" fillId="16" borderId="42" xfId="0" applyNumberFormat="1" applyFont="1" applyFill="1" applyBorder="1" applyProtection="1"/>
    <xf numFmtId="164" fontId="20" fillId="5" borderId="41" xfId="0" applyNumberFormat="1" applyFont="1" applyFill="1" applyBorder="1" applyAlignment="1" applyProtection="1">
      <alignment horizontal="right"/>
    </xf>
    <xf numFmtId="164" fontId="20" fillId="5" borderId="9" xfId="0" applyNumberFormat="1" applyFont="1" applyFill="1" applyBorder="1" applyAlignment="1" applyProtection="1">
      <alignment horizontal="right"/>
    </xf>
    <xf numFmtId="164" fontId="20" fillId="5" borderId="40" xfId="0" applyNumberFormat="1" applyFont="1" applyFill="1" applyBorder="1" applyAlignment="1" applyProtection="1">
      <alignment horizontal="right"/>
    </xf>
    <xf numFmtId="164" fontId="20" fillId="5" borderId="7" xfId="0" applyNumberFormat="1" applyFont="1" applyFill="1" applyBorder="1" applyAlignment="1" applyProtection="1">
      <alignment horizontal="right"/>
    </xf>
    <xf numFmtId="164" fontId="20" fillId="17" borderId="5" xfId="0" applyNumberFormat="1" applyFont="1" applyFill="1" applyBorder="1" applyAlignment="1" applyProtection="1">
      <alignment horizontal="right"/>
    </xf>
    <xf numFmtId="164" fontId="20" fillId="17" borderId="7" xfId="0" applyNumberFormat="1" applyFont="1" applyFill="1" applyBorder="1" applyAlignment="1" applyProtection="1">
      <alignment horizontal="right"/>
    </xf>
    <xf numFmtId="164" fontId="20" fillId="17" borderId="9" xfId="0" applyNumberFormat="1" applyFont="1" applyFill="1" applyBorder="1" applyAlignment="1" applyProtection="1">
      <alignment horizontal="right"/>
    </xf>
    <xf numFmtId="0" fontId="20" fillId="16" borderId="48" xfId="0" applyFont="1" applyFill="1" applyBorder="1" applyAlignment="1" applyProtection="1">
      <alignment horizontal="center" vertical="center"/>
    </xf>
    <xf numFmtId="0" fontId="20" fillId="16" borderId="49" xfId="0" applyFont="1" applyFill="1" applyBorder="1" applyAlignment="1" applyProtection="1">
      <alignment horizontal="center" vertical="center"/>
    </xf>
    <xf numFmtId="0" fontId="20" fillId="16" borderId="50" xfId="0" applyFont="1" applyFill="1" applyBorder="1" applyAlignment="1" applyProtection="1">
      <alignment horizontal="center" vertical="center"/>
    </xf>
    <xf numFmtId="0" fontId="20" fillId="16" borderId="51" xfId="0" applyFont="1" applyFill="1" applyBorder="1" applyProtection="1"/>
    <xf numFmtId="0" fontId="28" fillId="16" borderId="48" xfId="0" applyFont="1" applyFill="1" applyBorder="1" applyAlignment="1" applyProtection="1">
      <alignment horizontal="center" vertical="center"/>
    </xf>
    <xf numFmtId="0" fontId="28" fillId="16" borderId="49" xfId="0" applyFont="1" applyFill="1" applyBorder="1" applyAlignment="1" applyProtection="1">
      <alignment horizontal="center" vertical="center"/>
    </xf>
    <xf numFmtId="0" fontId="28" fillId="16" borderId="50" xfId="0" applyFont="1" applyFill="1" applyBorder="1" applyAlignment="1" applyProtection="1">
      <alignment horizontal="center" vertical="center"/>
    </xf>
    <xf numFmtId="0" fontId="41" fillId="24" borderId="31" xfId="0" applyFont="1" applyFill="1" applyBorder="1" applyAlignment="1" applyProtection="1">
      <alignment horizontal="center" vertical="center" wrapText="1"/>
    </xf>
    <xf numFmtId="0" fontId="41" fillId="24" borderId="32" xfId="0" applyFont="1" applyFill="1" applyBorder="1" applyAlignment="1" applyProtection="1">
      <alignment horizontal="center" vertical="center" wrapText="1"/>
    </xf>
    <xf numFmtId="0" fontId="41" fillId="24" borderId="33" xfId="0" applyFont="1" applyFill="1" applyBorder="1" applyAlignment="1" applyProtection="1">
      <alignment horizontal="center" vertical="center" wrapText="1"/>
    </xf>
    <xf numFmtId="0" fontId="0" fillId="0" borderId="0" xfId="0" applyAlignment="1" applyProtection="1">
      <alignment horizontal="center"/>
    </xf>
    <xf numFmtId="0" fontId="41" fillId="24" borderId="27" xfId="8" applyFont="1" applyFill="1" applyBorder="1" applyAlignment="1" applyProtection="1">
      <alignment horizontal="center" vertical="center"/>
    </xf>
    <xf numFmtId="0" fontId="42" fillId="24" borderId="0" xfId="0" applyFont="1" applyFill="1" applyAlignment="1" applyProtection="1">
      <alignment horizontal="center"/>
    </xf>
    <xf numFmtId="0" fontId="41" fillId="24" borderId="32" xfId="8" applyFont="1" applyFill="1" applyBorder="1" applyAlignment="1" applyProtection="1">
      <alignment horizontal="center" vertical="center"/>
    </xf>
    <xf numFmtId="0" fontId="42" fillId="24" borderId="32" xfId="0" applyFont="1" applyFill="1" applyBorder="1" applyAlignment="1" applyProtection="1">
      <alignment horizontal="center"/>
    </xf>
    <xf numFmtId="0" fontId="42" fillId="24" borderId="22" xfId="0" applyFont="1" applyFill="1" applyBorder="1" applyAlignment="1" applyProtection="1">
      <alignment horizontal="center"/>
    </xf>
    <xf numFmtId="0" fontId="1" fillId="2" borderId="0" xfId="0" applyFont="1" applyFill="1" applyAlignment="1">
      <alignment horizontal="center"/>
    </xf>
    <xf numFmtId="0" fontId="0" fillId="15" borderId="11" xfId="0" applyFill="1" applyBorder="1" applyAlignment="1">
      <alignment horizontal="center"/>
    </xf>
    <xf numFmtId="0" fontId="0" fillId="15" borderId="13" xfId="0" applyFill="1" applyBorder="1" applyAlignment="1">
      <alignment horizontal="left"/>
    </xf>
    <xf numFmtId="0" fontId="5" fillId="0" borderId="0" xfId="10" applyFont="1"/>
    <xf numFmtId="0" fontId="5" fillId="25" borderId="18" xfId="10" applyFont="1" applyFill="1" applyBorder="1"/>
    <xf numFmtId="0" fontId="43" fillId="25" borderId="19" xfId="10" applyFont="1" applyFill="1" applyBorder="1" applyAlignment="1">
      <alignment horizontal="center"/>
    </xf>
    <xf numFmtId="0" fontId="5" fillId="25" borderId="20" xfId="10" applyFont="1" applyFill="1" applyBorder="1"/>
    <xf numFmtId="0" fontId="5" fillId="25" borderId="21" xfId="10" applyFont="1" applyFill="1" applyBorder="1"/>
    <xf numFmtId="0" fontId="44" fillId="25" borderId="0" xfId="10" applyFont="1" applyFill="1" applyBorder="1" applyAlignment="1">
      <alignment horizontal="right" vertical="top"/>
    </xf>
    <xf numFmtId="0" fontId="5" fillId="25" borderId="22" xfId="10" applyFont="1" applyFill="1" applyBorder="1"/>
    <xf numFmtId="0" fontId="45" fillId="25" borderId="0" xfId="10" applyFont="1" applyFill="1" applyBorder="1" applyAlignment="1">
      <alignment horizontal="center" wrapText="1"/>
    </xf>
    <xf numFmtId="0" fontId="45" fillId="25" borderId="23" xfId="10" applyFont="1" applyFill="1" applyBorder="1" applyAlignment="1">
      <alignment horizontal="center" vertical="center" wrapText="1"/>
    </xf>
    <xf numFmtId="0" fontId="14" fillId="25" borderId="0" xfId="10" applyFont="1" applyFill="1" applyBorder="1" applyAlignment="1">
      <alignment horizontal="center" vertical="center" wrapText="1"/>
    </xf>
    <xf numFmtId="0" fontId="46" fillId="25" borderId="1" xfId="10" applyFont="1" applyFill="1" applyBorder="1" applyAlignment="1">
      <alignment horizontal="center" vertical="center" wrapText="1"/>
    </xf>
    <xf numFmtId="0" fontId="5" fillId="25" borderId="27" xfId="10" applyFont="1" applyFill="1" applyBorder="1"/>
    <xf numFmtId="15" fontId="43" fillId="25" borderId="24" xfId="10" applyNumberFormat="1" applyFont="1" applyFill="1" applyBorder="1" applyAlignment="1">
      <alignment horizontal="center" vertical="center" wrapText="1"/>
    </xf>
    <xf numFmtId="0" fontId="5" fillId="25" borderId="28" xfId="10" applyFont="1" applyFill="1" applyBorder="1"/>
    <xf numFmtId="0" fontId="6" fillId="0" borderId="0" xfId="10" applyFont="1" applyAlignment="1">
      <alignment vertical="top"/>
    </xf>
    <xf numFmtId="0" fontId="6" fillId="0" borderId="0" xfId="10" applyFont="1" applyFill="1" applyBorder="1" applyAlignment="1">
      <alignment vertical="top"/>
    </xf>
    <xf numFmtId="0" fontId="44" fillId="25" borderId="18" xfId="10" applyFont="1" applyFill="1" applyBorder="1" applyAlignment="1">
      <alignment horizontal="right" wrapText="1"/>
    </xf>
    <xf numFmtId="0" fontId="44" fillId="25" borderId="20" xfId="10" applyFont="1" applyFill="1" applyBorder="1" applyAlignment="1">
      <alignment horizontal="right" wrapText="1"/>
    </xf>
    <xf numFmtId="0" fontId="6" fillId="0" borderId="0" xfId="10" applyFont="1" applyFill="1" applyBorder="1" applyAlignment="1"/>
    <xf numFmtId="0" fontId="6" fillId="0" borderId="0" xfId="10" applyFont="1" applyAlignment="1"/>
    <xf numFmtId="0" fontId="44" fillId="25" borderId="21" xfId="10" applyFont="1" applyFill="1" applyBorder="1" applyAlignment="1">
      <alignment vertical="center" wrapText="1"/>
    </xf>
    <xf numFmtId="0" fontId="44" fillId="25" borderId="0" xfId="10" applyFont="1" applyFill="1" applyBorder="1" applyAlignment="1">
      <alignment horizontal="right" vertical="center" wrapText="1"/>
    </xf>
    <xf numFmtId="0" fontId="47" fillId="25" borderId="0" xfId="10" applyFont="1" applyFill="1" applyBorder="1" applyAlignment="1">
      <alignment horizontal="right" vertical="center" wrapText="1"/>
    </xf>
    <xf numFmtId="0" fontId="44" fillId="25" borderId="22" xfId="10" applyFont="1" applyFill="1" applyBorder="1" applyAlignment="1">
      <alignment vertical="center" wrapText="1"/>
    </xf>
    <xf numFmtId="0" fontId="6" fillId="0" borderId="0" xfId="10" applyFont="1" applyFill="1" applyBorder="1" applyAlignment="1">
      <alignment vertical="center"/>
    </xf>
    <xf numFmtId="0" fontId="6" fillId="0" borderId="0" xfId="10" applyFont="1" applyAlignment="1">
      <alignment vertical="center"/>
    </xf>
    <xf numFmtId="0" fontId="48" fillId="25" borderId="21" xfId="10" applyFont="1" applyFill="1" applyBorder="1" applyAlignment="1">
      <alignment horizontal="center" vertical="center" wrapText="1"/>
    </xf>
    <xf numFmtId="0" fontId="48" fillId="25" borderId="22" xfId="10" applyFont="1" applyFill="1" applyBorder="1" applyAlignment="1">
      <alignment horizontal="center" vertical="center" wrapText="1"/>
    </xf>
    <xf numFmtId="0" fontId="13" fillId="25" borderId="21" xfId="10" applyFont="1" applyFill="1" applyBorder="1" applyAlignment="1">
      <alignment horizontal="center" vertical="center"/>
    </xf>
    <xf numFmtId="0" fontId="13" fillId="25" borderId="22" xfId="10" applyFont="1" applyFill="1" applyBorder="1" applyAlignment="1">
      <alignment horizontal="center" vertical="center"/>
    </xf>
    <xf numFmtId="0" fontId="43" fillId="25" borderId="24" xfId="10" applyFont="1" applyFill="1" applyBorder="1" applyAlignment="1">
      <alignment horizontal="center" vertical="center"/>
    </xf>
    <xf numFmtId="0" fontId="15" fillId="25" borderId="21" xfId="10" applyFont="1" applyFill="1" applyBorder="1" applyAlignment="1">
      <alignment horizontal="center" vertical="center"/>
    </xf>
    <xf numFmtId="0" fontId="15" fillId="25" borderId="22" xfId="10" applyFont="1" applyFill="1" applyBorder="1" applyAlignment="1">
      <alignment horizontal="center" vertical="center"/>
    </xf>
    <xf numFmtId="0" fontId="50" fillId="27" borderId="0" xfId="10" applyFont="1" applyFill="1" applyBorder="1" applyAlignment="1">
      <alignment horizontal="center" vertical="center"/>
    </xf>
    <xf numFmtId="0" fontId="43" fillId="0" borderId="0" xfId="10" applyFont="1" applyFill="1" applyBorder="1" applyAlignment="1">
      <alignment vertical="center"/>
    </xf>
    <xf numFmtId="0" fontId="43" fillId="0" borderId="0" xfId="10" applyFont="1" applyAlignment="1">
      <alignment vertical="center"/>
    </xf>
    <xf numFmtId="0" fontId="7" fillId="28" borderId="13" xfId="10" applyFont="1" applyFill="1" applyBorder="1" applyAlignment="1">
      <alignment vertical="center"/>
    </xf>
    <xf numFmtId="0" fontId="7" fillId="28" borderId="13" xfId="10" applyFont="1" applyFill="1" applyBorder="1" applyAlignment="1">
      <alignment horizontal="center" vertical="center" wrapText="1"/>
    </xf>
    <xf numFmtId="0" fontId="5" fillId="29" borderId="0" xfId="10" applyFont="1" applyFill="1" applyBorder="1" applyAlignment="1">
      <alignment vertical="center"/>
    </xf>
    <xf numFmtId="0" fontId="51" fillId="25" borderId="0" xfId="3" applyFont="1" applyFill="1" applyBorder="1" applyAlignment="1" applyProtection="1">
      <alignment horizontal="left" vertical="center" wrapText="1" indent="1"/>
    </xf>
    <xf numFmtId="0" fontId="5" fillId="25" borderId="0" xfId="10" applyFont="1" applyFill="1" applyBorder="1" applyAlignment="1">
      <alignment horizontal="left" vertical="center" wrapText="1" indent="1"/>
    </xf>
    <xf numFmtId="0" fontId="13" fillId="0" borderId="0" xfId="10" applyFont="1" applyFill="1" applyBorder="1" applyAlignment="1">
      <alignment vertical="center"/>
    </xf>
    <xf numFmtId="0" fontId="13" fillId="0" borderId="0" xfId="10" applyFont="1" applyAlignment="1">
      <alignment vertical="center"/>
    </xf>
    <xf numFmtId="0" fontId="5" fillId="30" borderId="0" xfId="10" applyFont="1" applyFill="1" applyBorder="1" applyAlignment="1">
      <alignment vertical="center"/>
    </xf>
    <xf numFmtId="0" fontId="52" fillId="26" borderId="0" xfId="10" applyFont="1" applyFill="1" applyBorder="1" applyAlignment="1">
      <alignment vertical="center"/>
    </xf>
    <xf numFmtId="0" fontId="6" fillId="25" borderId="27" xfId="10" applyFont="1" applyFill="1" applyBorder="1" applyAlignment="1">
      <alignment vertical="top"/>
    </xf>
    <xf numFmtId="0" fontId="6" fillId="25" borderId="24" xfId="10" applyFont="1" applyFill="1" applyBorder="1" applyAlignment="1">
      <alignment vertical="top"/>
    </xf>
    <xf numFmtId="0" fontId="6" fillId="25" borderId="28" xfId="10" applyFont="1" applyFill="1" applyBorder="1" applyAlignment="1">
      <alignment vertical="top"/>
    </xf>
    <xf numFmtId="0" fontId="44" fillId="25" borderId="19" xfId="10" applyFont="1" applyFill="1" applyBorder="1" applyAlignment="1">
      <alignment horizontal="right" wrapText="1"/>
    </xf>
    <xf numFmtId="0" fontId="6" fillId="25" borderId="19" xfId="10" applyFont="1" applyFill="1" applyBorder="1" applyAlignment="1"/>
    <xf numFmtId="0" fontId="6" fillId="25" borderId="20" xfId="10" applyFont="1" applyFill="1" applyBorder="1" applyAlignment="1"/>
    <xf numFmtId="0" fontId="48" fillId="25" borderId="0" xfId="10" applyFont="1" applyFill="1" applyBorder="1" applyAlignment="1">
      <alignment horizontal="center" vertical="center" wrapText="1"/>
    </xf>
    <xf numFmtId="0" fontId="6" fillId="25" borderId="0" xfId="10" applyFont="1" applyFill="1" applyBorder="1" applyAlignment="1">
      <alignment vertical="top"/>
    </xf>
    <xf numFmtId="0" fontId="6" fillId="25" borderId="22" xfId="10" applyFont="1" applyFill="1" applyBorder="1" applyAlignment="1">
      <alignment vertical="top"/>
    </xf>
    <xf numFmtId="0" fontId="6" fillId="25" borderId="22" xfId="10" applyFont="1" applyFill="1" applyBorder="1" applyAlignment="1">
      <alignment vertical="center"/>
    </xf>
    <xf numFmtId="0" fontId="6" fillId="6" borderId="0" xfId="10" applyFont="1" applyFill="1" applyAlignment="1">
      <alignment vertical="center"/>
    </xf>
    <xf numFmtId="0" fontId="14" fillId="25" borderId="21" xfId="10" applyFont="1" applyFill="1" applyBorder="1" applyAlignment="1">
      <alignment vertical="center"/>
    </xf>
    <xf numFmtId="0" fontId="14" fillId="25" borderId="22" xfId="10" applyFont="1" applyFill="1" applyBorder="1" applyAlignment="1">
      <alignment vertical="center"/>
    </xf>
    <xf numFmtId="0" fontId="14" fillId="25" borderId="0" xfId="10" applyFont="1" applyFill="1" applyBorder="1" applyAlignment="1">
      <alignment horizontal="left" vertical="center"/>
    </xf>
    <xf numFmtId="0" fontId="14" fillId="25" borderId="0" xfId="10" applyFont="1" applyFill="1" applyBorder="1" applyAlignment="1">
      <alignment vertical="center"/>
    </xf>
    <xf numFmtId="0" fontId="13" fillId="25" borderId="0" xfId="10" applyFont="1" applyFill="1" applyBorder="1" applyAlignment="1">
      <alignment vertical="center"/>
    </xf>
    <xf numFmtId="0" fontId="14" fillId="25" borderId="0" xfId="10" applyFont="1" applyFill="1" applyBorder="1" applyAlignment="1"/>
    <xf numFmtId="0" fontId="13" fillId="25" borderId="26" xfId="10" applyFont="1" applyFill="1" applyBorder="1" applyAlignment="1">
      <alignment horizontal="center" vertical="center"/>
    </xf>
    <xf numFmtId="0" fontId="14" fillId="25" borderId="16" xfId="10" applyFont="1" applyFill="1" applyBorder="1" applyAlignment="1">
      <alignment horizontal="center" vertical="center"/>
    </xf>
    <xf numFmtId="0" fontId="14" fillId="25" borderId="11" xfId="10" applyFont="1" applyFill="1" applyBorder="1" applyAlignment="1">
      <alignment horizontal="center" vertical="center"/>
    </xf>
    <xf numFmtId="0" fontId="14" fillId="25" borderId="11" xfId="10" applyFont="1" applyFill="1" applyBorder="1" applyAlignment="1">
      <alignment vertical="center"/>
    </xf>
    <xf numFmtId="0" fontId="53" fillId="25" borderId="0" xfId="10" applyFont="1" applyFill="1" applyBorder="1" applyAlignment="1">
      <alignment vertical="center"/>
    </xf>
    <xf numFmtId="0" fontId="6" fillId="6" borderId="0" xfId="10" applyFont="1" applyFill="1" applyAlignment="1">
      <alignment vertical="center" wrapText="1"/>
    </xf>
    <xf numFmtId="0" fontId="14" fillId="25" borderId="21" xfId="10" applyFont="1" applyFill="1" applyBorder="1" applyAlignment="1">
      <alignment vertical="center" wrapText="1"/>
    </xf>
    <xf numFmtId="0" fontId="14" fillId="25" borderId="22" xfId="10" applyFont="1" applyFill="1" applyBorder="1" applyAlignment="1">
      <alignment vertical="center" wrapText="1"/>
    </xf>
    <xf numFmtId="0" fontId="6" fillId="0" borderId="0" xfId="10" applyFont="1" applyAlignment="1">
      <alignment vertical="center" wrapText="1"/>
    </xf>
    <xf numFmtId="0" fontId="14" fillId="25" borderId="0" xfId="10" applyFont="1" applyFill="1" applyBorder="1" applyAlignment="1">
      <alignment horizontal="left" vertical="center" wrapText="1"/>
    </xf>
    <xf numFmtId="0" fontId="13" fillId="25" borderId="13" xfId="10" applyFont="1" applyFill="1" applyBorder="1" applyAlignment="1">
      <alignment horizontal="left" vertical="center"/>
    </xf>
    <xf numFmtId="0" fontId="14" fillId="25" borderId="13" xfId="10" applyFont="1" applyFill="1" applyBorder="1" applyAlignment="1">
      <alignment horizontal="left" vertical="center" wrapText="1"/>
    </xf>
    <xf numFmtId="0" fontId="14" fillId="25" borderId="0" xfId="10" applyFont="1" applyFill="1" applyBorder="1" applyAlignment="1">
      <alignment vertical="top" wrapText="1"/>
    </xf>
    <xf numFmtId="0" fontId="14" fillId="25" borderId="13" xfId="10" applyFont="1" applyFill="1" applyBorder="1" applyAlignment="1">
      <alignment horizontal="left" vertical="center"/>
    </xf>
    <xf numFmtId="0" fontId="5" fillId="0" borderId="0" xfId="10" applyAlignment="1">
      <alignment vertical="center"/>
    </xf>
    <xf numFmtId="0" fontId="5" fillId="25" borderId="27" xfId="10" applyFill="1" applyBorder="1" applyAlignment="1">
      <alignment vertical="center"/>
    </xf>
    <xf numFmtId="0" fontId="5" fillId="25" borderId="24" xfId="10" applyFill="1" applyBorder="1" applyAlignment="1">
      <alignment vertical="center"/>
    </xf>
    <xf numFmtId="0" fontId="5" fillId="25" borderId="24" xfId="10" applyFill="1" applyBorder="1" applyAlignment="1">
      <alignment vertical="center" wrapText="1"/>
    </xf>
    <xf numFmtId="0" fontId="5" fillId="25" borderId="28" xfId="10" applyFill="1" applyBorder="1" applyAlignment="1">
      <alignment vertical="center"/>
    </xf>
    <xf numFmtId="0" fontId="5" fillId="0" borderId="0" xfId="10"/>
    <xf numFmtId="0" fontId="14" fillId="6" borderId="0" xfId="10" applyFont="1" applyFill="1" applyAlignment="1">
      <alignment vertical="center"/>
    </xf>
    <xf numFmtId="0" fontId="14" fillId="0" borderId="0" xfId="10" applyFont="1" applyAlignment="1">
      <alignment vertical="center"/>
    </xf>
    <xf numFmtId="0" fontId="13" fillId="28" borderId="13" xfId="10" applyFont="1" applyFill="1" applyBorder="1" applyAlignment="1">
      <alignment vertical="center"/>
    </xf>
    <xf numFmtId="0" fontId="14" fillId="28" borderId="13" xfId="10" applyFont="1" applyFill="1" applyBorder="1" applyAlignment="1">
      <alignment vertical="center"/>
    </xf>
    <xf numFmtId="0" fontId="12" fillId="25" borderId="0" xfId="3" applyFont="1" applyFill="1" applyBorder="1" applyAlignment="1" applyProtection="1">
      <alignment horizontal="center" vertical="center"/>
    </xf>
    <xf numFmtId="0" fontId="6" fillId="6" borderId="0" xfId="10" applyFont="1" applyFill="1" applyAlignment="1">
      <alignment horizontal="left" vertical="center"/>
    </xf>
    <xf numFmtId="0" fontId="14" fillId="25" borderId="21" xfId="10" applyFont="1" applyFill="1" applyBorder="1" applyAlignment="1">
      <alignment horizontal="left" vertical="center"/>
    </xf>
    <xf numFmtId="0" fontId="14" fillId="25" borderId="22" xfId="10" applyFont="1" applyFill="1" applyBorder="1" applyAlignment="1">
      <alignment horizontal="left" vertical="center"/>
    </xf>
    <xf numFmtId="0" fontId="6" fillId="0" borderId="0" xfId="10" applyFont="1" applyAlignment="1">
      <alignment horizontal="left" vertical="center"/>
    </xf>
    <xf numFmtId="0" fontId="6" fillId="0" borderId="0" xfId="10" applyFont="1" applyAlignment="1" applyProtection="1">
      <alignment vertical="top"/>
    </xf>
    <xf numFmtId="0" fontId="6" fillId="0" borderId="0" xfId="10" applyFont="1" applyFill="1" applyBorder="1" applyAlignment="1" applyProtection="1">
      <alignment vertical="top"/>
    </xf>
    <xf numFmtId="0" fontId="6" fillId="0" borderId="0" xfId="10" applyFont="1" applyAlignment="1" applyProtection="1"/>
    <xf numFmtId="0" fontId="44" fillId="25" borderId="18" xfId="10" applyFont="1" applyFill="1" applyBorder="1" applyAlignment="1" applyProtection="1">
      <alignment horizontal="right" wrapText="1"/>
    </xf>
    <xf numFmtId="0" fontId="44" fillId="25" borderId="19" xfId="10" applyFont="1" applyFill="1" applyBorder="1" applyAlignment="1" applyProtection="1">
      <alignment horizontal="right" wrapText="1"/>
    </xf>
    <xf numFmtId="0" fontId="6" fillId="25" borderId="19" xfId="10" applyFont="1" applyFill="1" applyBorder="1" applyAlignment="1" applyProtection="1"/>
    <xf numFmtId="0" fontId="6" fillId="25" borderId="20" xfId="10" applyFont="1" applyFill="1" applyBorder="1" applyAlignment="1" applyProtection="1"/>
    <xf numFmtId="0" fontId="6" fillId="0" borderId="0" xfId="10" applyFont="1" applyFill="1" applyBorder="1" applyAlignment="1" applyProtection="1"/>
    <xf numFmtId="0" fontId="48" fillId="25" borderId="21" xfId="10" applyFont="1" applyFill="1" applyBorder="1" applyAlignment="1" applyProtection="1">
      <alignment horizontal="center" vertical="center" wrapText="1"/>
    </xf>
    <xf numFmtId="0" fontId="48" fillId="25" borderId="0" xfId="10" applyFont="1" applyFill="1" applyBorder="1" applyAlignment="1" applyProtection="1">
      <alignment horizontal="center" vertical="center" wrapText="1"/>
    </xf>
    <xf numFmtId="0" fontId="6" fillId="25" borderId="0" xfId="10" applyFont="1" applyFill="1" applyBorder="1" applyAlignment="1" applyProtection="1">
      <alignment vertical="top"/>
    </xf>
    <xf numFmtId="0" fontId="44" fillId="25" borderId="0" xfId="10" applyFont="1" applyFill="1" applyBorder="1" applyAlignment="1" applyProtection="1">
      <alignment horizontal="right" vertical="top"/>
    </xf>
    <xf numFmtId="0" fontId="6" fillId="25" borderId="22" xfId="10" applyFont="1" applyFill="1" applyBorder="1" applyAlignment="1" applyProtection="1">
      <alignment vertical="top"/>
    </xf>
    <xf numFmtId="0" fontId="13" fillId="25" borderId="21" xfId="10" applyFont="1" applyFill="1" applyBorder="1" applyAlignment="1" applyProtection="1">
      <alignment horizontal="center" vertical="center"/>
    </xf>
    <xf numFmtId="0" fontId="43" fillId="25" borderId="24" xfId="10" applyFont="1" applyFill="1" applyBorder="1" applyAlignment="1" applyProtection="1">
      <alignment horizontal="center" vertical="center"/>
    </xf>
    <xf numFmtId="0" fontId="15" fillId="25" borderId="21" xfId="10" applyFont="1" applyFill="1" applyBorder="1" applyAlignment="1" applyProtection="1">
      <alignment horizontal="center" vertical="center"/>
    </xf>
    <xf numFmtId="0" fontId="50" fillId="25" borderId="0" xfId="10" applyFont="1" applyFill="1" applyBorder="1" applyAlignment="1" applyProtection="1">
      <alignment horizontal="center" vertical="center"/>
    </xf>
    <xf numFmtId="0" fontId="6" fillId="6" borderId="0" xfId="10" applyFont="1" applyFill="1" applyProtection="1"/>
    <xf numFmtId="0" fontId="14" fillId="25" borderId="21" xfId="10" applyFont="1" applyFill="1" applyBorder="1" applyProtection="1"/>
    <xf numFmtId="0" fontId="14" fillId="25" borderId="0" xfId="10" applyFont="1" applyFill="1" applyBorder="1" applyAlignment="1" applyProtection="1">
      <alignment vertical="center"/>
    </xf>
    <xf numFmtId="0" fontId="13" fillId="4" borderId="11" xfId="10" applyFont="1" applyFill="1" applyBorder="1" applyAlignment="1" applyProtection="1">
      <alignment horizontal="center" vertical="center" wrapText="1"/>
      <protection locked="0"/>
    </xf>
    <xf numFmtId="0" fontId="13" fillId="25" borderId="0" xfId="10" applyFont="1" applyFill="1" applyBorder="1" applyAlignment="1" applyProtection="1">
      <alignment horizontal="center" vertical="top" wrapText="1"/>
    </xf>
    <xf numFmtId="0" fontId="13" fillId="25" borderId="0" xfId="10" applyFont="1" applyFill="1" applyBorder="1" applyAlignment="1" applyProtection="1">
      <alignment horizontal="left" wrapText="1"/>
    </xf>
    <xf numFmtId="0" fontId="14" fillId="25" borderId="22" xfId="10" applyFont="1" applyFill="1" applyBorder="1" applyProtection="1"/>
    <xf numFmtId="0" fontId="6" fillId="0" borderId="0" xfId="10" applyFont="1" applyProtection="1"/>
    <xf numFmtId="0" fontId="9" fillId="6" borderId="0" xfId="10" applyFont="1" applyFill="1" applyProtection="1"/>
    <xf numFmtId="0" fontId="16" fillId="25" borderId="21" xfId="10" applyFont="1" applyFill="1" applyBorder="1" applyProtection="1"/>
    <xf numFmtId="0" fontId="17" fillId="25" borderId="0" xfId="10" applyFont="1" applyFill="1" applyBorder="1" applyAlignment="1" applyProtection="1">
      <alignment horizontal="left" vertical="top" wrapText="1"/>
    </xf>
    <xf numFmtId="0" fontId="13" fillId="7" borderId="16" xfId="10" applyFont="1" applyFill="1" applyBorder="1" applyAlignment="1" applyProtection="1">
      <alignment horizontal="center" vertical="top" wrapText="1"/>
      <protection locked="0"/>
    </xf>
    <xf numFmtId="0" fontId="13" fillId="25" borderId="0" xfId="10" applyFont="1" applyFill="1" applyBorder="1" applyAlignment="1" applyProtection="1">
      <alignment vertical="center"/>
    </xf>
    <xf numFmtId="15" fontId="13" fillId="25" borderId="0" xfId="10" applyNumberFormat="1" applyFont="1" applyFill="1" applyBorder="1" applyAlignment="1" applyProtection="1">
      <alignment vertical="center"/>
    </xf>
    <xf numFmtId="0" fontId="13" fillId="25" borderId="0" xfId="10" applyFont="1" applyFill="1" applyBorder="1" applyAlignment="1" applyProtection="1"/>
    <xf numFmtId="0" fontId="6" fillId="6" borderId="0" xfId="10" applyFont="1" applyFill="1" applyAlignment="1" applyProtection="1">
      <alignment vertical="top"/>
    </xf>
    <xf numFmtId="0" fontId="14" fillId="25" borderId="21" xfId="10" applyFont="1" applyFill="1" applyBorder="1" applyAlignment="1" applyProtection="1">
      <alignment vertical="top"/>
    </xf>
    <xf numFmtId="0" fontId="14" fillId="25" borderId="22" xfId="10" applyFont="1" applyFill="1" applyBorder="1" applyAlignment="1" applyProtection="1">
      <alignment vertical="top"/>
    </xf>
    <xf numFmtId="0" fontId="14" fillId="25" borderId="0" xfId="10" applyFont="1" applyFill="1" applyBorder="1" applyAlignment="1" applyProtection="1">
      <alignment horizontal="left" wrapText="1"/>
    </xf>
    <xf numFmtId="0" fontId="14" fillId="25" borderId="0" xfId="10" applyFont="1" applyFill="1" applyBorder="1" applyAlignment="1" applyProtection="1">
      <alignment vertical="top" wrapText="1"/>
    </xf>
    <xf numFmtId="0" fontId="14" fillId="25" borderId="0" xfId="10" applyFont="1" applyFill="1" applyBorder="1" applyAlignment="1" applyProtection="1">
      <alignment horizontal="left" vertical="center" wrapText="1"/>
    </xf>
    <xf numFmtId="0" fontId="14" fillId="25" borderId="0" xfId="10" applyFont="1" applyFill="1" applyBorder="1" applyAlignment="1" applyProtection="1">
      <alignment horizontal="left" vertical="center"/>
    </xf>
    <xf numFmtId="0" fontId="5" fillId="0" borderId="0" xfId="10" applyProtection="1"/>
    <xf numFmtId="0" fontId="5" fillId="25" borderId="27" xfId="10" applyFill="1" applyBorder="1" applyProtection="1"/>
    <xf numFmtId="0" fontId="5" fillId="25" borderId="24" xfId="10" applyFill="1" applyBorder="1" applyProtection="1"/>
    <xf numFmtId="0" fontId="5" fillId="25" borderId="28" xfId="10" applyFill="1" applyBorder="1" applyProtection="1"/>
    <xf numFmtId="0" fontId="14" fillId="0" borderId="0" xfId="10" applyFont="1"/>
    <xf numFmtId="0" fontId="14" fillId="25" borderId="18" xfId="10" applyFont="1" applyFill="1" applyBorder="1"/>
    <xf numFmtId="0" fontId="14" fillId="25" borderId="20" xfId="10" applyFont="1" applyFill="1" applyBorder="1"/>
    <xf numFmtId="0" fontId="14" fillId="0" borderId="0" xfId="10" applyFont="1" applyAlignment="1"/>
    <xf numFmtId="0" fontId="14" fillId="25" borderId="21" xfId="10" applyFont="1" applyFill="1" applyBorder="1" applyAlignment="1"/>
    <xf numFmtId="0" fontId="45" fillId="25" borderId="0" xfId="7" applyFont="1" applyFill="1" applyBorder="1" applyAlignment="1">
      <alignment vertical="center" wrapText="1" shrinkToFit="1"/>
    </xf>
    <xf numFmtId="0" fontId="55" fillId="25" borderId="0" xfId="7" applyFont="1" applyFill="1" applyBorder="1" applyAlignment="1">
      <alignment horizontal="right" vertical="center" wrapText="1" shrinkToFit="1"/>
    </xf>
    <xf numFmtId="0" fontId="14" fillId="25" borderId="22" xfId="10" applyFont="1" applyFill="1" applyBorder="1" applyAlignment="1"/>
    <xf numFmtId="0" fontId="14" fillId="25" borderId="21" xfId="10" applyFont="1" applyFill="1" applyBorder="1"/>
    <xf numFmtId="0" fontId="14" fillId="25" borderId="22" xfId="10" applyFont="1" applyFill="1" applyBorder="1"/>
    <xf numFmtId="0" fontId="43" fillId="25" borderId="0" xfId="7" applyFont="1" applyFill="1" applyBorder="1" applyAlignment="1">
      <alignment horizontal="center" vertical="center" wrapText="1" shrinkToFit="1"/>
    </xf>
    <xf numFmtId="1" fontId="14" fillId="0" borderId="0" xfId="10" applyNumberFormat="1" applyFont="1" applyProtection="1">
      <protection hidden="1"/>
    </xf>
    <xf numFmtId="1" fontId="14" fillId="25" borderId="21" xfId="10" applyNumberFormat="1" applyFont="1" applyFill="1" applyBorder="1" applyProtection="1">
      <protection hidden="1"/>
    </xf>
    <xf numFmtId="0" fontId="13" fillId="25" borderId="11" xfId="10" applyFont="1" applyFill="1" applyBorder="1" applyAlignment="1" applyProtection="1">
      <alignment horizontal="center" vertical="center"/>
    </xf>
    <xf numFmtId="0" fontId="14" fillId="4" borderId="11" xfId="10" applyFont="1" applyFill="1" applyBorder="1" applyAlignment="1" applyProtection="1">
      <alignment horizontal="left" vertical="center" wrapText="1"/>
      <protection locked="0"/>
    </xf>
    <xf numFmtId="0" fontId="14" fillId="4" borderId="11" xfId="10" applyFont="1" applyFill="1" applyBorder="1" applyAlignment="1" applyProtection="1">
      <alignment horizontal="left" vertical="center"/>
      <protection locked="0"/>
    </xf>
    <xf numFmtId="1" fontId="13" fillId="25" borderId="11" xfId="10" applyNumberFormat="1" applyFont="1" applyFill="1" applyBorder="1" applyAlignment="1" applyProtection="1">
      <alignment horizontal="center" vertical="center"/>
    </xf>
    <xf numFmtId="0" fontId="14" fillId="6" borderId="11" xfId="10" applyFont="1" applyFill="1" applyBorder="1" applyAlignment="1" applyProtection="1">
      <alignment horizontal="left" vertical="center"/>
      <protection locked="0"/>
    </xf>
    <xf numFmtId="0" fontId="14" fillId="0" borderId="11" xfId="10" applyFont="1" applyFill="1" applyBorder="1" applyAlignment="1" applyProtection="1">
      <alignment horizontal="left" vertical="center"/>
      <protection locked="0"/>
    </xf>
    <xf numFmtId="0" fontId="14" fillId="25" borderId="27" xfId="10" applyFont="1" applyFill="1" applyBorder="1"/>
    <xf numFmtId="0" fontId="14" fillId="25" borderId="24" xfId="10" applyFont="1" applyFill="1" applyBorder="1" applyAlignment="1">
      <alignment vertical="center"/>
    </xf>
    <xf numFmtId="0" fontId="14" fillId="25" borderId="24" xfId="10" applyFont="1" applyFill="1" applyBorder="1"/>
    <xf numFmtId="0" fontId="14" fillId="25" borderId="28" xfId="10" applyFont="1" applyFill="1" applyBorder="1"/>
    <xf numFmtId="0" fontId="4" fillId="18" borderId="18" xfId="0" applyFont="1" applyFill="1" applyBorder="1" applyAlignment="1">
      <alignment horizontal="center" vertical="center" wrapText="1"/>
    </xf>
    <xf numFmtId="0" fontId="4" fillId="18" borderId="20" xfId="0" applyFont="1" applyFill="1" applyBorder="1" applyAlignment="1">
      <alignment horizontal="center" vertical="center" wrapText="1"/>
    </xf>
    <xf numFmtId="0" fontId="4" fillId="18" borderId="21" xfId="0" applyFont="1" applyFill="1" applyBorder="1" applyAlignment="1">
      <alignment horizontal="center" vertical="center" wrapText="1"/>
    </xf>
    <xf numFmtId="0" fontId="4" fillId="18" borderId="0" xfId="0" applyFont="1" applyFill="1" applyBorder="1" applyAlignment="1">
      <alignment horizontal="center" vertical="center" wrapText="1"/>
    </xf>
    <xf numFmtId="0" fontId="4" fillId="18" borderId="22" xfId="0" applyFont="1" applyFill="1" applyBorder="1" applyAlignment="1">
      <alignment horizontal="center" vertical="center" wrapText="1"/>
    </xf>
    <xf numFmtId="0" fontId="4" fillId="18" borderId="45" xfId="0" applyFont="1" applyFill="1" applyBorder="1" applyAlignment="1">
      <alignment horizontal="center" vertical="center" wrapText="1"/>
    </xf>
    <xf numFmtId="0" fontId="43" fillId="17" borderId="0" xfId="7" applyFont="1" applyFill="1" applyAlignment="1">
      <alignment horizontal="center"/>
    </xf>
    <xf numFmtId="14" fontId="43" fillId="17" borderId="0" xfId="7" applyNumberFormat="1" applyFont="1" applyFill="1"/>
    <xf numFmtId="0" fontId="43" fillId="17" borderId="0" xfId="7" applyFont="1" applyFill="1"/>
    <xf numFmtId="0" fontId="5" fillId="0" borderId="0" xfId="7"/>
    <xf numFmtId="0" fontId="5" fillId="15" borderId="18" xfId="7" applyFill="1" applyBorder="1" applyAlignment="1">
      <alignment horizontal="center"/>
    </xf>
    <xf numFmtId="0" fontId="5" fillId="15" borderId="19" xfId="7" applyFill="1" applyBorder="1"/>
    <xf numFmtId="0" fontId="5" fillId="15" borderId="19" xfId="7" applyFill="1" applyBorder="1" applyAlignment="1">
      <alignment horizontal="center"/>
    </xf>
    <xf numFmtId="14" fontId="5" fillId="15" borderId="20" xfId="7" quotePrefix="1" applyNumberFormat="1" applyFill="1" applyBorder="1" applyAlignment="1">
      <alignment horizontal="center"/>
    </xf>
    <xf numFmtId="0" fontId="5" fillId="15" borderId="21" xfId="7" applyFill="1" applyBorder="1" applyAlignment="1">
      <alignment horizontal="center"/>
    </xf>
    <xf numFmtId="0" fontId="5" fillId="15" borderId="0" xfId="7" applyFill="1" applyBorder="1"/>
    <xf numFmtId="0" fontId="5" fillId="15" borderId="0" xfId="7" applyFill="1" applyBorder="1" applyAlignment="1">
      <alignment horizontal="center"/>
    </xf>
    <xf numFmtId="0" fontId="5" fillId="15" borderId="22" xfId="7" applyFill="1" applyBorder="1" applyAlignment="1">
      <alignment horizontal="center"/>
    </xf>
    <xf numFmtId="0" fontId="5" fillId="15" borderId="27" xfId="7" applyFill="1" applyBorder="1" applyAlignment="1">
      <alignment horizontal="center"/>
    </xf>
    <xf numFmtId="0" fontId="5" fillId="15" borderId="24" xfId="7" applyFill="1" applyBorder="1"/>
    <xf numFmtId="0" fontId="5" fillId="15" borderId="24" xfId="7" applyFill="1" applyBorder="1" applyAlignment="1">
      <alignment horizontal="center"/>
    </xf>
    <xf numFmtId="0" fontId="5" fillId="15" borderId="28" xfId="7" applyFill="1" applyBorder="1" applyAlignment="1">
      <alignment horizontal="center"/>
    </xf>
    <xf numFmtId="0" fontId="5" fillId="0" borderId="0" xfId="7" applyAlignment="1">
      <alignment horizontal="center"/>
    </xf>
    <xf numFmtId="0" fontId="5" fillId="0" borderId="0" xfId="11"/>
    <xf numFmtId="0" fontId="4" fillId="9" borderId="57" xfId="11" applyFont="1" applyFill="1" applyBorder="1" applyAlignment="1">
      <alignment horizontal="center" vertical="center"/>
    </xf>
    <xf numFmtId="0" fontId="57" fillId="9" borderId="57" xfId="11" applyFont="1" applyFill="1" applyBorder="1" applyAlignment="1">
      <alignment horizontal="center" vertical="center"/>
    </xf>
    <xf numFmtId="0" fontId="5" fillId="0" borderId="0" xfId="11" applyAlignment="1">
      <alignment vertical="center"/>
    </xf>
    <xf numFmtId="0" fontId="5" fillId="15" borderId="0" xfId="11" applyFill="1" applyAlignment="1">
      <alignment horizontal="center" vertical="center"/>
    </xf>
    <xf numFmtId="0" fontId="5" fillId="0" borderId="0" xfId="11" applyAlignment="1">
      <alignment horizontal="center"/>
    </xf>
    <xf numFmtId="0" fontId="4" fillId="18" borderId="0" xfId="12" applyFont="1" applyFill="1" applyAlignment="1">
      <alignment horizontal="center" vertical="center"/>
    </xf>
    <xf numFmtId="0" fontId="4" fillId="18" borderId="0" xfId="12" applyFont="1" applyFill="1" applyAlignment="1">
      <alignment horizontal="center" vertical="center" wrapText="1"/>
    </xf>
    <xf numFmtId="0" fontId="5" fillId="0" borderId="0" xfId="2"/>
    <xf numFmtId="0" fontId="3" fillId="28" borderId="0" xfId="12" applyFont="1" applyFill="1" applyAlignment="1">
      <alignment horizontal="center"/>
    </xf>
    <xf numFmtId="0" fontId="3" fillId="28" borderId="0" xfId="12" applyFill="1" applyAlignment="1">
      <alignment horizontal="center"/>
    </xf>
    <xf numFmtId="0" fontId="3" fillId="28" borderId="0" xfId="12" applyFont="1" applyFill="1" applyAlignment="1">
      <alignment horizontal="left"/>
    </xf>
    <xf numFmtId="0" fontId="5" fillId="23" borderId="31" xfId="7" applyFill="1" applyBorder="1" applyAlignment="1">
      <alignment horizontal="center" vertical="center"/>
    </xf>
    <xf numFmtId="0" fontId="5" fillId="23" borderId="32" xfId="7" applyFill="1" applyBorder="1" applyAlignment="1">
      <alignment vertical="center"/>
    </xf>
    <xf numFmtId="0" fontId="5" fillId="23" borderId="32" xfId="7" applyFill="1" applyBorder="1" applyAlignment="1">
      <alignment horizontal="center" vertical="center"/>
    </xf>
    <xf numFmtId="0" fontId="5" fillId="23" borderId="33" xfId="7" applyFill="1" applyBorder="1" applyAlignment="1">
      <alignment horizontal="center" vertical="center"/>
    </xf>
    <xf numFmtId="0" fontId="14" fillId="25" borderId="0" xfId="10" applyFont="1" applyFill="1" applyBorder="1" applyAlignment="1">
      <alignment vertical="center"/>
    </xf>
    <xf numFmtId="0" fontId="4" fillId="9" borderId="58" xfId="10" applyFont="1" applyFill="1" applyBorder="1" applyAlignment="1">
      <alignment horizontal="center"/>
    </xf>
    <xf numFmtId="0" fontId="4" fillId="9" borderId="59" xfId="10" applyFont="1" applyFill="1" applyBorder="1" applyAlignment="1">
      <alignment horizontal="center"/>
    </xf>
    <xf numFmtId="0" fontId="38" fillId="34" borderId="21" xfId="10" applyFont="1" applyFill="1" applyBorder="1"/>
    <xf numFmtId="0" fontId="38" fillId="34" borderId="22" xfId="10" applyFont="1" applyFill="1" applyBorder="1" applyAlignment="1">
      <alignment horizontal="left"/>
    </xf>
    <xf numFmtId="0" fontId="38" fillId="34" borderId="27" xfId="10" applyFont="1" applyFill="1" applyBorder="1"/>
    <xf numFmtId="0" fontId="38" fillId="34" borderId="28" xfId="10" applyFont="1" applyFill="1" applyBorder="1" applyAlignment="1">
      <alignment horizontal="left"/>
    </xf>
    <xf numFmtId="0" fontId="38" fillId="36" borderId="21" xfId="10" applyFont="1" applyFill="1" applyBorder="1" applyAlignment="1">
      <alignment vertical="center"/>
    </xf>
    <xf numFmtId="0" fontId="38" fillId="36" borderId="22" xfId="10" applyFont="1" applyFill="1" applyBorder="1" applyAlignment="1">
      <alignment horizontal="left" wrapText="1"/>
    </xf>
    <xf numFmtId="0" fontId="38" fillId="36" borderId="21" xfId="10" applyFont="1" applyFill="1" applyBorder="1"/>
    <xf numFmtId="0" fontId="38" fillId="36" borderId="22" xfId="10" applyFont="1" applyFill="1" applyBorder="1" applyAlignment="1">
      <alignment horizontal="left"/>
    </xf>
    <xf numFmtId="0" fontId="38" fillId="36" borderId="27" xfId="10" applyFont="1" applyFill="1" applyBorder="1"/>
    <xf numFmtId="15" fontId="38" fillId="36" borderId="28" xfId="10" quotePrefix="1" applyNumberFormat="1" applyFont="1" applyFill="1" applyBorder="1" applyAlignment="1">
      <alignment horizontal="left"/>
    </xf>
    <xf numFmtId="15" fontId="38" fillId="36" borderId="22" xfId="10" quotePrefix="1" applyNumberFormat="1" applyFont="1" applyFill="1" applyBorder="1" applyAlignment="1">
      <alignment horizontal="left"/>
    </xf>
    <xf numFmtId="0" fontId="38" fillId="38" borderId="21" xfId="10" applyFont="1" applyFill="1" applyBorder="1"/>
    <xf numFmtId="0" fontId="38" fillId="38" borderId="22" xfId="10" applyFont="1" applyFill="1" applyBorder="1" applyAlignment="1">
      <alignment horizontal="left"/>
    </xf>
    <xf numFmtId="0" fontId="38" fillId="38" borderId="21" xfId="10" applyFont="1" applyFill="1" applyBorder="1" applyAlignment="1">
      <alignment horizontal="left" vertical="center" wrapText="1"/>
    </xf>
    <xf numFmtId="0" fontId="38" fillId="38" borderId="27" xfId="10" applyFont="1" applyFill="1" applyBorder="1" applyAlignment="1">
      <alignment horizontal="left" vertical="center" wrapText="1"/>
    </xf>
    <xf numFmtId="0" fontId="38" fillId="38" borderId="28" xfId="7" applyFont="1" applyFill="1" applyBorder="1"/>
    <xf numFmtId="0" fontId="38" fillId="40" borderId="21" xfId="10" applyFont="1" applyFill="1" applyBorder="1" applyAlignment="1">
      <alignment horizontal="left" vertical="center" wrapText="1"/>
    </xf>
    <xf numFmtId="0" fontId="38" fillId="40" borderId="22" xfId="6" applyFont="1" applyFill="1" applyBorder="1" applyAlignment="1" applyProtection="1">
      <alignment vertical="center"/>
    </xf>
    <xf numFmtId="0" fontId="38" fillId="40" borderId="27" xfId="10" applyFont="1" applyFill="1" applyBorder="1" applyAlignment="1">
      <alignment vertical="center" wrapText="1"/>
    </xf>
    <xf numFmtId="0" fontId="5" fillId="0" borderId="0" xfId="10" applyAlignment="1">
      <alignment horizontal="left"/>
    </xf>
    <xf numFmtId="0" fontId="5" fillId="0" borderId="0" xfId="7" applyAlignment="1">
      <alignment horizontal="left"/>
    </xf>
    <xf numFmtId="164" fontId="59" fillId="4" borderId="5" xfId="0" applyNumberFormat="1" applyFont="1" applyFill="1" applyBorder="1" applyAlignment="1" applyProtection="1">
      <alignment horizontal="right"/>
      <protection locked="0"/>
    </xf>
    <xf numFmtId="0" fontId="60" fillId="15" borderId="52" xfId="0" applyFont="1" applyFill="1" applyBorder="1" applyAlignment="1" applyProtection="1">
      <alignment horizontal="center" vertical="center"/>
      <protection locked="0"/>
    </xf>
    <xf numFmtId="0" fontId="60" fillId="15" borderId="53" xfId="0" applyFont="1" applyFill="1" applyBorder="1" applyAlignment="1" applyProtection="1">
      <alignment horizontal="center" vertical="center"/>
      <protection locked="0"/>
    </xf>
    <xf numFmtId="0" fontId="60" fillId="15" borderId="54" xfId="0" applyFont="1" applyFill="1" applyBorder="1" applyAlignment="1" applyProtection="1">
      <alignment horizontal="center" vertical="center"/>
      <protection locked="0"/>
    </xf>
    <xf numFmtId="0" fontId="60" fillId="15" borderId="55" xfId="0" applyFont="1" applyFill="1" applyBorder="1" applyAlignment="1" applyProtection="1">
      <alignment vertical="top" wrapText="1"/>
    </xf>
    <xf numFmtId="0" fontId="60" fillId="15" borderId="60" xfId="0" applyFont="1" applyFill="1" applyBorder="1" applyAlignment="1" applyProtection="1">
      <alignment vertical="top" wrapText="1"/>
    </xf>
    <xf numFmtId="164" fontId="59" fillId="4" borderId="61" xfId="0" applyNumberFormat="1" applyFont="1" applyFill="1" applyBorder="1" applyAlignment="1" applyProtection="1">
      <alignment horizontal="right"/>
      <protection locked="0"/>
    </xf>
    <xf numFmtId="0" fontId="60" fillId="15" borderId="62" xfId="0" applyFont="1" applyFill="1" applyBorder="1" applyAlignment="1" applyProtection="1">
      <alignment horizontal="center" vertical="center"/>
      <protection locked="0"/>
    </xf>
    <xf numFmtId="0" fontId="60" fillId="15" borderId="63" xfId="0" applyFont="1" applyFill="1" applyBorder="1" applyAlignment="1" applyProtection="1">
      <alignment horizontal="center" vertical="center"/>
      <protection locked="0"/>
    </xf>
    <xf numFmtId="0" fontId="60" fillId="15" borderId="64" xfId="0" applyFont="1" applyFill="1" applyBorder="1" applyAlignment="1" applyProtection="1">
      <alignment horizontal="center" vertical="center"/>
      <protection locked="0"/>
    </xf>
    <xf numFmtId="164" fontId="20" fillId="5" borderId="5" xfId="0" applyNumberFormat="1" applyFont="1" applyFill="1" applyBorder="1" applyAlignment="1" applyProtection="1">
      <alignment horizontal="right"/>
    </xf>
    <xf numFmtId="164" fontId="20" fillId="16" borderId="65" xfId="0" applyNumberFormat="1" applyFont="1" applyFill="1" applyBorder="1" applyProtection="1"/>
    <xf numFmtId="0" fontId="20" fillId="16" borderId="66" xfId="0" applyFont="1" applyFill="1" applyBorder="1" applyAlignment="1" applyProtection="1">
      <alignment horizontal="center" vertical="center"/>
    </xf>
    <xf numFmtId="0" fontId="20" fillId="16" borderId="67" xfId="0" applyFont="1" applyFill="1" applyBorder="1" applyProtection="1"/>
    <xf numFmtId="0" fontId="24" fillId="12" borderId="31" xfId="0" applyFont="1" applyFill="1" applyBorder="1" applyAlignment="1" applyProtection="1">
      <alignment horizontal="center" vertical="center" wrapText="1"/>
    </xf>
    <xf numFmtId="0" fontId="3" fillId="28" borderId="0" xfId="13" applyFill="1"/>
    <xf numFmtId="0" fontId="3" fillId="28" borderId="0" xfId="13" applyFont="1" applyFill="1"/>
    <xf numFmtId="0" fontId="3" fillId="28" borderId="0" xfId="13" applyFont="1" applyFill="1" applyAlignment="1">
      <alignment horizontal="center" vertical="center"/>
    </xf>
    <xf numFmtId="0" fontId="3" fillId="28" borderId="0" xfId="13" applyFill="1" applyAlignment="1">
      <alignment horizontal="center" vertical="center"/>
    </xf>
    <xf numFmtId="0" fontId="3" fillId="28" borderId="0" xfId="12" applyFont="1" applyFill="1"/>
    <xf numFmtId="0" fontId="3" fillId="28" borderId="0" xfId="12" applyFill="1"/>
    <xf numFmtId="0" fontId="3" fillId="0" borderId="0" xfId="12"/>
    <xf numFmtId="164" fontId="20" fillId="5" borderId="41" xfId="0" applyNumberFormat="1" applyFont="1" applyFill="1" applyBorder="1" applyAlignment="1" applyProtection="1">
      <alignment horizontal="right"/>
      <protection locked="0"/>
    </xf>
    <xf numFmtId="164" fontId="20" fillId="17" borderId="5" xfId="0" applyNumberFormat="1" applyFont="1" applyFill="1" applyBorder="1" applyAlignment="1" applyProtection="1">
      <alignment horizontal="right"/>
      <protection locked="0"/>
    </xf>
    <xf numFmtId="164" fontId="20" fillId="17" borderId="7" xfId="0" applyNumberFormat="1" applyFont="1" applyFill="1" applyBorder="1" applyAlignment="1" applyProtection="1">
      <alignment horizontal="right"/>
      <protection locked="0"/>
    </xf>
    <xf numFmtId="164" fontId="20" fillId="5" borderId="9" xfId="0" applyNumberFormat="1" applyFont="1" applyFill="1" applyBorder="1" applyAlignment="1" applyProtection="1">
      <alignment horizontal="right"/>
      <protection locked="0"/>
    </xf>
    <xf numFmtId="164" fontId="20" fillId="17" borderId="9" xfId="0" applyNumberFormat="1" applyFont="1" applyFill="1" applyBorder="1" applyAlignment="1" applyProtection="1">
      <alignment horizontal="right"/>
      <protection locked="0"/>
    </xf>
    <xf numFmtId="164" fontId="20" fillId="5" borderId="7" xfId="0" applyNumberFormat="1" applyFont="1" applyFill="1" applyBorder="1" applyAlignment="1" applyProtection="1">
      <alignment horizontal="right"/>
      <protection locked="0"/>
    </xf>
    <xf numFmtId="164" fontId="20" fillId="5" borderId="5" xfId="0" applyNumberFormat="1" applyFont="1" applyFill="1" applyBorder="1" applyAlignment="1" applyProtection="1">
      <alignment horizontal="right"/>
      <protection locked="0"/>
    </xf>
    <xf numFmtId="164" fontId="20" fillId="5" borderId="40" xfId="0" applyNumberFormat="1" applyFont="1" applyFill="1" applyBorder="1" applyAlignment="1" applyProtection="1">
      <alignment horizontal="right"/>
      <protection locked="0"/>
    </xf>
    <xf numFmtId="0" fontId="8" fillId="0" borderId="0" xfId="3" applyAlignment="1" applyProtection="1">
      <alignment horizontal="center"/>
    </xf>
    <xf numFmtId="164" fontId="20" fillId="5" borderId="61" xfId="0" applyNumberFormat="1" applyFont="1" applyFill="1" applyBorder="1" applyAlignment="1" applyProtection="1">
      <alignment horizontal="right"/>
    </xf>
    <xf numFmtId="0" fontId="58" fillId="15" borderId="0" xfId="11" applyFont="1" applyFill="1" applyAlignment="1">
      <alignment horizontal="left" vertical="center" wrapText="1"/>
    </xf>
    <xf numFmtId="0" fontId="19" fillId="24" borderId="31" xfId="8" applyFont="1" applyFill="1" applyBorder="1" applyAlignment="1" applyProtection="1">
      <alignment horizontal="left" vertical="center"/>
    </xf>
    <xf numFmtId="0" fontId="20" fillId="24" borderId="32" xfId="0" applyFont="1" applyFill="1" applyBorder="1" applyProtection="1"/>
    <xf numFmtId="0" fontId="21" fillId="24" borderId="32" xfId="8" applyFont="1" applyFill="1" applyBorder="1" applyAlignment="1" applyProtection="1">
      <alignment horizontal="left" vertical="center"/>
    </xf>
    <xf numFmtId="0" fontId="22" fillId="24" borderId="32" xfId="0" applyFont="1" applyFill="1" applyBorder="1" applyProtection="1"/>
    <xf numFmtId="0" fontId="21" fillId="24" borderId="33" xfId="8" applyFont="1" applyFill="1" applyBorder="1" applyAlignment="1" applyProtection="1">
      <alignment horizontal="center" vertical="center"/>
    </xf>
    <xf numFmtId="0" fontId="21" fillId="24" borderId="32" xfId="8" applyFont="1" applyFill="1" applyBorder="1" applyAlignment="1" applyProtection="1">
      <alignment vertical="center"/>
    </xf>
    <xf numFmtId="0" fontId="21" fillId="24" borderId="45" xfId="8" applyFont="1" applyFill="1" applyBorder="1" applyAlignment="1" applyProtection="1">
      <alignment vertical="center"/>
    </xf>
    <xf numFmtId="0" fontId="19" fillId="24" borderId="27" xfId="8" applyFont="1" applyFill="1" applyBorder="1" applyAlignment="1" applyProtection="1">
      <alignment horizontal="left" vertical="center"/>
    </xf>
    <xf numFmtId="0" fontId="20" fillId="24" borderId="0" xfId="0" applyFont="1" applyFill="1" applyProtection="1"/>
    <xf numFmtId="0" fontId="19" fillId="24" borderId="32" xfId="8" applyFont="1" applyFill="1" applyBorder="1" applyAlignment="1" applyProtection="1">
      <alignment horizontal="left" vertical="center"/>
    </xf>
    <xf numFmtId="0" fontId="20" fillId="24" borderId="46" xfId="0" applyFont="1" applyFill="1" applyBorder="1" applyProtection="1"/>
    <xf numFmtId="0" fontId="25" fillId="41" borderId="34" xfId="0" applyFont="1" applyFill="1" applyBorder="1" applyAlignment="1" applyProtection="1">
      <alignment horizontal="left" vertical="center" wrapText="1"/>
    </xf>
    <xf numFmtId="0" fontId="26" fillId="41" borderId="34" xfId="0" applyFont="1" applyFill="1" applyBorder="1" applyAlignment="1" applyProtection="1">
      <alignment horizontal="left" vertical="center" wrapText="1"/>
    </xf>
    <xf numFmtId="0" fontId="27" fillId="24" borderId="36" xfId="0" applyFont="1" applyFill="1" applyBorder="1" applyAlignment="1" applyProtection="1">
      <alignment horizontal="left" vertical="center" wrapText="1"/>
    </xf>
    <xf numFmtId="0" fontId="26" fillId="24" borderId="11" xfId="0" applyFont="1" applyFill="1" applyBorder="1" applyAlignment="1" applyProtection="1">
      <alignment horizontal="left" vertical="center" wrapText="1"/>
    </xf>
    <xf numFmtId="0" fontId="29" fillId="24" borderId="37" xfId="0" applyFont="1" applyFill="1" applyBorder="1" applyAlignment="1" applyProtection="1">
      <alignment horizontal="left" vertical="center" wrapText="1"/>
    </xf>
    <xf numFmtId="0" fontId="31" fillId="41" borderId="26" xfId="0" applyFont="1" applyFill="1" applyBorder="1" applyAlignment="1" applyProtection="1">
      <alignment horizontal="left" vertical="center" wrapText="1"/>
    </xf>
    <xf numFmtId="0" fontId="26" fillId="41" borderId="26" xfId="0" applyFont="1" applyFill="1" applyBorder="1" applyAlignment="1" applyProtection="1">
      <alignment horizontal="left" vertical="center" wrapText="1"/>
    </xf>
    <xf numFmtId="0" fontId="30" fillId="24" borderId="39" xfId="0" applyFont="1" applyFill="1" applyBorder="1" applyAlignment="1" applyProtection="1">
      <alignment horizontal="left" vertical="center" wrapText="1"/>
    </xf>
    <xf numFmtId="0" fontId="25" fillId="41" borderId="11" xfId="0" applyFont="1" applyFill="1" applyBorder="1" applyAlignment="1" applyProtection="1">
      <alignment horizontal="left" vertical="center" wrapText="1"/>
    </xf>
    <xf numFmtId="0" fontId="26" fillId="41" borderId="11" xfId="0" applyFont="1" applyFill="1" applyBorder="1" applyAlignment="1" applyProtection="1">
      <alignment horizontal="left" vertical="center" wrapText="1"/>
    </xf>
    <xf numFmtId="0" fontId="27" fillId="24" borderId="37" xfId="0" applyFont="1" applyFill="1" applyBorder="1" applyAlignment="1" applyProtection="1">
      <alignment horizontal="left" vertical="center" wrapText="1"/>
    </xf>
    <xf numFmtId="0" fontId="25" fillId="41" borderId="26" xfId="0" applyFont="1" applyFill="1" applyBorder="1" applyAlignment="1" applyProtection="1">
      <alignment horizontal="left" vertical="center" wrapText="1"/>
    </xf>
    <xf numFmtId="0" fontId="27" fillId="24" borderId="39" xfId="0" applyFont="1" applyFill="1" applyBorder="1" applyAlignment="1" applyProtection="1">
      <alignment horizontal="left" vertical="center" wrapText="1"/>
    </xf>
    <xf numFmtId="0" fontId="26" fillId="24" borderId="34" xfId="0" applyFont="1" applyFill="1" applyBorder="1" applyAlignment="1" applyProtection="1">
      <alignment horizontal="left" vertical="center" wrapText="1"/>
    </xf>
    <xf numFmtId="0" fontId="25" fillId="41" borderId="16" xfId="0" applyFont="1" applyFill="1" applyBorder="1" applyAlignment="1" applyProtection="1">
      <alignment horizontal="left" vertical="center" wrapText="1"/>
    </xf>
    <xf numFmtId="0" fontId="24" fillId="24" borderId="31" xfId="0" applyFont="1" applyFill="1" applyBorder="1" applyAlignment="1" applyProtection="1">
      <alignment horizontal="center" vertical="center" wrapText="1"/>
    </xf>
    <xf numFmtId="0" fontId="37" fillId="24" borderId="25" xfId="1" applyNumberFormat="1" applyFont="1" applyFill="1" applyBorder="1" applyAlignment="1" applyProtection="1">
      <alignment horizontal="center" vertical="center" textRotation="90" wrapText="1"/>
    </xf>
    <xf numFmtId="0" fontId="60" fillId="15" borderId="55" xfId="0" applyFont="1" applyFill="1" applyBorder="1" applyAlignment="1" applyProtection="1">
      <alignment vertical="top" wrapText="1"/>
      <protection locked="0"/>
    </xf>
    <xf numFmtId="164" fontId="20" fillId="16" borderId="65" xfId="0" applyNumberFormat="1" applyFont="1" applyFill="1" applyBorder="1" applyProtection="1">
      <protection locked="0"/>
    </xf>
    <xf numFmtId="0" fontId="20" fillId="16" borderId="66" xfId="0" applyFont="1" applyFill="1" applyBorder="1" applyAlignment="1" applyProtection="1">
      <alignment horizontal="center" vertical="center"/>
      <protection locked="0"/>
    </xf>
    <xf numFmtId="0" fontId="20" fillId="16" borderId="67" xfId="0" applyFont="1" applyFill="1" applyBorder="1" applyProtection="1">
      <protection locked="0"/>
    </xf>
    <xf numFmtId="0" fontId="60" fillId="15" borderId="60" xfId="0" applyFont="1" applyFill="1" applyBorder="1" applyAlignment="1" applyProtection="1">
      <alignment vertical="top" wrapText="1"/>
      <protection locked="0"/>
    </xf>
    <xf numFmtId="164" fontId="20" fillId="5" borderId="61" xfId="0" applyNumberFormat="1" applyFont="1" applyFill="1" applyBorder="1" applyAlignment="1" applyProtection="1">
      <alignment horizontal="right"/>
      <protection locked="0"/>
    </xf>
    <xf numFmtId="164" fontId="20" fillId="16" borderId="42" xfId="0" applyNumberFormat="1" applyFont="1" applyFill="1" applyBorder="1" applyProtection="1">
      <protection locked="0"/>
    </xf>
    <xf numFmtId="0" fontId="20" fillId="16" borderId="43" xfId="0" applyFont="1" applyFill="1" applyBorder="1" applyAlignment="1" applyProtection="1">
      <alignment horizontal="center" vertical="center"/>
      <protection locked="0"/>
    </xf>
    <xf numFmtId="0" fontId="20" fillId="16" borderId="44" xfId="0" applyFont="1" applyFill="1" applyBorder="1" applyProtection="1">
      <protection locked="0"/>
    </xf>
    <xf numFmtId="0" fontId="20" fillId="16" borderId="48" xfId="0" applyFont="1" applyFill="1" applyBorder="1" applyAlignment="1" applyProtection="1">
      <alignment horizontal="center" vertical="center"/>
      <protection locked="0"/>
    </xf>
    <xf numFmtId="0" fontId="20" fillId="16" borderId="49" xfId="0" applyFont="1" applyFill="1" applyBorder="1" applyAlignment="1" applyProtection="1">
      <alignment horizontal="center" vertical="center"/>
      <protection locked="0"/>
    </xf>
    <xf numFmtId="0" fontId="20" fillId="16" borderId="50" xfId="0" applyFont="1" applyFill="1" applyBorder="1" applyAlignment="1" applyProtection="1">
      <alignment horizontal="center" vertical="center"/>
      <protection locked="0"/>
    </xf>
    <xf numFmtId="0" fontId="20" fillId="16" borderId="51" xfId="0" applyFont="1" applyFill="1" applyBorder="1" applyProtection="1">
      <protection locked="0"/>
    </xf>
    <xf numFmtId="0" fontId="28" fillId="16" borderId="48" xfId="0" applyFont="1" applyFill="1" applyBorder="1" applyAlignment="1" applyProtection="1">
      <alignment horizontal="center" vertical="center"/>
      <protection locked="0"/>
    </xf>
    <xf numFmtId="0" fontId="28" fillId="16" borderId="49" xfId="0" applyFont="1" applyFill="1" applyBorder="1" applyAlignment="1" applyProtection="1">
      <alignment horizontal="center" vertical="center"/>
      <protection locked="0"/>
    </xf>
    <xf numFmtId="0" fontId="28" fillId="16" borderId="50" xfId="0" applyFont="1" applyFill="1" applyBorder="1" applyAlignment="1" applyProtection="1">
      <alignment horizontal="center" vertical="center"/>
      <protection locked="0"/>
    </xf>
    <xf numFmtId="0" fontId="0" fillId="24" borderId="0" xfId="0" applyFill="1" applyBorder="1" applyAlignment="1">
      <alignment horizontal="left" vertical="center"/>
    </xf>
    <xf numFmtId="0" fontId="0" fillId="15" borderId="27" xfId="0" applyFill="1" applyBorder="1" applyAlignment="1">
      <alignment horizontal="center"/>
    </xf>
    <xf numFmtId="0" fontId="0" fillId="15" borderId="28" xfId="0" applyFill="1" applyBorder="1" applyAlignment="1">
      <alignment horizontal="center"/>
    </xf>
    <xf numFmtId="0" fontId="0" fillId="15" borderId="27" xfId="0" applyFill="1" applyBorder="1" applyAlignment="1">
      <alignment horizontal="center" vertical="center"/>
    </xf>
    <xf numFmtId="0" fontId="0" fillId="15" borderId="24" xfId="0" applyFill="1" applyBorder="1" applyAlignment="1">
      <alignment horizontal="center" vertical="center"/>
    </xf>
    <xf numFmtId="0" fontId="0" fillId="15" borderId="28" xfId="0" applyFill="1" applyBorder="1" applyAlignment="1">
      <alignment horizontal="center" vertical="center"/>
    </xf>
    <xf numFmtId="0" fontId="0" fillId="15" borderId="56" xfId="0" applyFill="1" applyBorder="1" applyAlignment="1">
      <alignment horizontal="center" vertical="center"/>
    </xf>
    <xf numFmtId="0" fontId="0" fillId="15" borderId="0" xfId="0" applyFill="1" applyBorder="1" applyAlignment="1">
      <alignment horizontal="left" vertical="center"/>
    </xf>
    <xf numFmtId="0" fontId="0" fillId="24" borderId="27" xfId="0" applyFill="1" applyBorder="1" applyAlignment="1">
      <alignment horizontal="center"/>
    </xf>
    <xf numFmtId="0" fontId="0" fillId="24" borderId="28" xfId="0" applyFill="1" applyBorder="1" applyAlignment="1">
      <alignment horizontal="center"/>
    </xf>
    <xf numFmtId="0" fontId="0" fillId="24" borderId="27" xfId="0" applyFill="1" applyBorder="1" applyAlignment="1">
      <alignment horizontal="center" vertical="center"/>
    </xf>
    <xf numFmtId="0" fontId="0" fillId="24" borderId="24" xfId="0" applyFill="1" applyBorder="1" applyAlignment="1">
      <alignment horizontal="center" vertical="center"/>
    </xf>
    <xf numFmtId="0" fontId="0" fillId="24" borderId="28" xfId="0" applyFill="1" applyBorder="1" applyAlignment="1">
      <alignment horizontal="center" vertical="center"/>
    </xf>
    <xf numFmtId="0" fontId="0" fillId="24" borderId="56" xfId="0" applyFill="1" applyBorder="1" applyAlignment="1">
      <alignment horizontal="center" vertical="center"/>
    </xf>
    <xf numFmtId="0" fontId="3" fillId="21" borderId="17" xfId="12" applyFont="1" applyFill="1" applyBorder="1" applyAlignment="1">
      <alignment horizontal="center"/>
    </xf>
    <xf numFmtId="0" fontId="0" fillId="21" borderId="13" xfId="12" applyFont="1" applyFill="1" applyBorder="1" applyAlignment="1">
      <alignment horizontal="center"/>
    </xf>
    <xf numFmtId="0" fontId="3" fillId="21" borderId="13" xfId="12" applyFont="1" applyFill="1" applyBorder="1" applyAlignment="1">
      <alignment horizontal="center"/>
    </xf>
    <xf numFmtId="0" fontId="3" fillId="21" borderId="2" xfId="12" applyFont="1" applyFill="1" applyBorder="1" applyAlignment="1">
      <alignment horizontal="center"/>
    </xf>
    <xf numFmtId="0" fontId="3" fillId="21" borderId="23" xfId="12" applyFont="1" applyFill="1" applyBorder="1" applyAlignment="1">
      <alignment horizontal="center"/>
    </xf>
    <xf numFmtId="0" fontId="3" fillId="21" borderId="19" xfId="12" applyFont="1" applyFill="1" applyBorder="1" applyAlignment="1">
      <alignment horizontal="center"/>
    </xf>
    <xf numFmtId="0" fontId="3" fillId="21" borderId="0" xfId="12" applyFill="1" applyAlignment="1">
      <alignment horizontal="center"/>
    </xf>
    <xf numFmtId="0" fontId="3" fillId="21" borderId="0" xfId="12" applyFill="1" applyAlignment="1">
      <alignment horizontal="center" vertical="top"/>
    </xf>
    <xf numFmtId="0" fontId="3" fillId="21" borderId="0" xfId="12" applyFont="1" applyFill="1" applyAlignment="1">
      <alignment horizontal="center" vertical="top" wrapText="1"/>
    </xf>
    <xf numFmtId="0" fontId="3" fillId="20" borderId="0" xfId="12" applyFill="1" applyAlignment="1">
      <alignment horizontal="center"/>
    </xf>
    <xf numFmtId="0" fontId="3" fillId="0" borderId="0" xfId="12" applyAlignment="1">
      <alignment horizontal="center"/>
    </xf>
    <xf numFmtId="0" fontId="65" fillId="19" borderId="0" xfId="0" applyFont="1" applyFill="1" applyAlignment="1">
      <alignment horizontal="center" vertical="center" wrapText="1"/>
    </xf>
    <xf numFmtId="0" fontId="4" fillId="18" borderId="45" xfId="14" applyFont="1" applyFill="1" applyBorder="1" applyAlignment="1">
      <alignment horizontal="center" vertical="center" wrapText="1"/>
    </xf>
    <xf numFmtId="0" fontId="0" fillId="15" borderId="56" xfId="14" applyFont="1" applyFill="1" applyBorder="1" applyAlignment="1">
      <alignment horizontal="center" vertical="center"/>
    </xf>
    <xf numFmtId="0" fontId="3" fillId="24" borderId="68" xfId="14" applyFont="1" applyFill="1" applyBorder="1" applyAlignment="1">
      <alignment horizontal="center" vertical="center"/>
    </xf>
    <xf numFmtId="0" fontId="3" fillId="0" borderId="0" xfId="14"/>
    <xf numFmtId="0" fontId="3" fillId="0" borderId="0" xfId="12" applyAlignment="1">
      <alignment horizontal="center" vertical="center"/>
    </xf>
    <xf numFmtId="0" fontId="3" fillId="0" borderId="0" xfId="12" applyFont="1" applyAlignment="1">
      <alignment horizontal="center" vertical="center"/>
    </xf>
    <xf numFmtId="0" fontId="3" fillId="0" borderId="0" xfId="12" applyFont="1" applyAlignment="1">
      <alignment horizontal="center"/>
    </xf>
    <xf numFmtId="0" fontId="0" fillId="0" borderId="0" xfId="12" applyFont="1" applyAlignment="1">
      <alignment horizontal="center"/>
    </xf>
    <xf numFmtId="0" fontId="0" fillId="0" borderId="0" xfId="12" applyFont="1" applyAlignment="1">
      <alignment horizontal="center" vertical="center"/>
    </xf>
    <xf numFmtId="0" fontId="8" fillId="38" borderId="22" xfId="3" applyFill="1" applyBorder="1" applyAlignment="1" applyProtection="1"/>
    <xf numFmtId="0" fontId="8" fillId="40" borderId="22" xfId="3" applyFill="1" applyBorder="1" applyAlignment="1" applyProtection="1">
      <alignment vertical="center"/>
    </xf>
    <xf numFmtId="0" fontId="8" fillId="40" borderId="28" xfId="3" applyFill="1" applyBorder="1" applyAlignment="1" applyProtection="1"/>
    <xf numFmtId="0" fontId="40" fillId="0" borderId="0" xfId="0" applyFont="1" applyAlignment="1">
      <alignment wrapText="1"/>
    </xf>
    <xf numFmtId="0" fontId="2" fillId="10" borderId="69" xfId="9" applyFont="1" applyFill="1" applyBorder="1" applyAlignment="1">
      <alignment horizontal="left" vertical="center" wrapText="1"/>
    </xf>
    <xf numFmtId="0" fontId="2" fillId="10" borderId="70" xfId="9" applyFont="1" applyFill="1" applyBorder="1" applyAlignment="1">
      <alignment horizontal="center" vertical="center" wrapText="1"/>
    </xf>
    <xf numFmtId="0" fontId="13" fillId="28" borderId="13" xfId="10" applyFont="1" applyFill="1" applyBorder="1" applyAlignment="1">
      <alignment horizontal="left" vertical="center"/>
    </xf>
    <xf numFmtId="0" fontId="44" fillId="25" borderId="19" xfId="10" applyFont="1" applyFill="1" applyBorder="1" applyAlignment="1">
      <alignment horizontal="right" wrapText="1"/>
    </xf>
    <xf numFmtId="0" fontId="48" fillId="25" borderId="1" xfId="10" applyFont="1" applyFill="1" applyBorder="1" applyAlignment="1">
      <alignment horizontal="center" vertical="center" wrapText="1"/>
    </xf>
    <xf numFmtId="0" fontId="43" fillId="25" borderId="2" xfId="10" applyFont="1" applyFill="1" applyBorder="1" applyAlignment="1">
      <alignment horizontal="center" vertical="center"/>
    </xf>
    <xf numFmtId="0" fontId="49" fillId="26" borderId="32" xfId="10" applyFont="1" applyFill="1" applyBorder="1" applyAlignment="1">
      <alignment horizontal="center" vertical="center"/>
    </xf>
    <xf numFmtId="0" fontId="14" fillId="25" borderId="0" xfId="10" applyFont="1" applyFill="1" applyBorder="1" applyAlignment="1">
      <alignment horizontal="left" vertical="center" wrapText="1"/>
    </xf>
    <xf numFmtId="0" fontId="13" fillId="25" borderId="0" xfId="10" applyFont="1" applyFill="1" applyBorder="1" applyAlignment="1">
      <alignment horizontal="center" vertical="center"/>
    </xf>
    <xf numFmtId="0" fontId="14" fillId="25" borderId="0" xfId="10" applyFont="1" applyFill="1" applyBorder="1" applyAlignment="1">
      <alignment horizontal="left" vertical="center"/>
    </xf>
    <xf numFmtId="0" fontId="14" fillId="25" borderId="0" xfId="10" quotePrefix="1" applyFont="1" applyFill="1" applyBorder="1" applyAlignment="1">
      <alignment horizontal="left" vertical="center" wrapText="1"/>
    </xf>
    <xf numFmtId="0" fontId="12" fillId="25" borderId="0" xfId="3" applyFont="1" applyFill="1" applyBorder="1" applyAlignment="1" applyProtection="1">
      <alignment horizontal="center" vertical="center"/>
    </xf>
    <xf numFmtId="0" fontId="12" fillId="25" borderId="0" xfId="3" applyFont="1" applyFill="1" applyBorder="1" applyAlignment="1" applyProtection="1">
      <alignment horizontal="center" vertical="center" wrapText="1"/>
    </xf>
    <xf numFmtId="0" fontId="12" fillId="25" borderId="0" xfId="3" applyFont="1" applyFill="1" applyBorder="1" applyAlignment="1" applyProtection="1">
      <alignment vertical="center"/>
    </xf>
    <xf numFmtId="0" fontId="13" fillId="25" borderId="0" xfId="10" applyFont="1" applyFill="1" applyBorder="1" applyAlignment="1">
      <alignment horizontal="left" wrapText="1"/>
    </xf>
    <xf numFmtId="0" fontId="14" fillId="25" borderId="0" xfId="10" applyFont="1" applyFill="1" applyBorder="1" applyAlignment="1">
      <alignment horizontal="left" wrapText="1"/>
    </xf>
    <xf numFmtId="0" fontId="13" fillId="25" borderId="0" xfId="10" applyFont="1" applyFill="1" applyBorder="1" applyAlignment="1">
      <alignment horizontal="left" vertical="center" wrapText="1"/>
    </xf>
    <xf numFmtId="0" fontId="48" fillId="25" borderId="1" xfId="10" applyFont="1" applyFill="1" applyBorder="1" applyAlignment="1">
      <alignment horizontal="center"/>
    </xf>
    <xf numFmtId="0" fontId="49" fillId="26" borderId="24" xfId="10" applyFont="1" applyFill="1" applyBorder="1" applyAlignment="1">
      <alignment horizontal="center" vertical="center"/>
    </xf>
    <xf numFmtId="0" fontId="14" fillId="25" borderId="0" xfId="10" applyFont="1" applyFill="1" applyBorder="1" applyAlignment="1">
      <alignment vertical="center"/>
    </xf>
    <xf numFmtId="0" fontId="14" fillId="4" borderId="0" xfId="10" applyFont="1" applyFill="1" applyBorder="1" applyAlignment="1" applyProtection="1">
      <alignment horizontal="left" vertical="center"/>
      <protection locked="0"/>
    </xf>
    <xf numFmtId="0" fontId="14" fillId="7" borderId="0" xfId="10" applyFont="1" applyFill="1" applyBorder="1" applyAlignment="1" applyProtection="1">
      <alignment horizontal="left" vertical="center"/>
      <protection locked="0"/>
    </xf>
    <xf numFmtId="49" fontId="14" fillId="4" borderId="0" xfId="10" applyNumberFormat="1" applyFont="1" applyFill="1" applyBorder="1" applyAlignment="1" applyProtection="1">
      <alignment horizontal="left" vertical="center"/>
      <protection locked="0"/>
    </xf>
    <xf numFmtId="49" fontId="14" fillId="7" borderId="0" xfId="10" applyNumberFormat="1" applyFont="1" applyFill="1" applyBorder="1" applyAlignment="1" applyProtection="1">
      <alignment horizontal="left" vertical="center"/>
      <protection locked="0"/>
    </xf>
    <xf numFmtId="0" fontId="54" fillId="25" borderId="0" xfId="10" applyFont="1" applyFill="1" applyBorder="1" applyAlignment="1" applyProtection="1">
      <alignment horizontal="center" wrapText="1"/>
    </xf>
    <xf numFmtId="0" fontId="48" fillId="25" borderId="1" xfId="10" applyFont="1" applyFill="1" applyBorder="1" applyAlignment="1" applyProtection="1">
      <alignment horizontal="center" vertical="center"/>
    </xf>
    <xf numFmtId="0" fontId="43" fillId="25" borderId="2" xfId="10" applyFont="1" applyFill="1" applyBorder="1" applyAlignment="1" applyProtection="1">
      <alignment horizontal="center" vertical="center"/>
    </xf>
    <xf numFmtId="0" fontId="49" fillId="26" borderId="24" xfId="10" applyFont="1" applyFill="1" applyBorder="1" applyAlignment="1" applyProtection="1">
      <alignment horizontal="center" vertical="center"/>
    </xf>
    <xf numFmtId="0" fontId="14" fillId="25" borderId="0" xfId="10" applyFont="1" applyFill="1" applyBorder="1" applyAlignment="1" applyProtection="1">
      <alignment horizontal="left" vertical="top" wrapText="1"/>
    </xf>
    <xf numFmtId="0" fontId="14" fillId="4" borderId="0" xfId="10" applyFont="1" applyFill="1" applyBorder="1" applyAlignment="1" applyProtection="1">
      <alignment horizontal="left" vertical="center" wrapText="1"/>
      <protection locked="0"/>
    </xf>
    <xf numFmtId="0" fontId="45" fillId="25" borderId="19" xfId="7" applyFont="1" applyFill="1" applyBorder="1" applyAlignment="1">
      <alignment horizontal="center" wrapText="1" shrinkToFit="1"/>
    </xf>
    <xf numFmtId="0" fontId="48" fillId="25" borderId="1" xfId="7" applyFont="1" applyFill="1" applyBorder="1" applyAlignment="1">
      <alignment horizontal="center" vertical="center" wrapText="1" shrinkToFit="1"/>
    </xf>
    <xf numFmtId="0" fontId="43" fillId="25" borderId="2" xfId="7" applyFont="1" applyFill="1" applyBorder="1" applyAlignment="1">
      <alignment horizontal="center" vertical="center" wrapText="1" shrinkToFit="1"/>
    </xf>
    <xf numFmtId="0" fontId="49" fillId="26" borderId="13" xfId="7" applyFont="1" applyFill="1" applyBorder="1" applyAlignment="1">
      <alignment horizontal="center" vertical="center" wrapText="1" shrinkToFit="1"/>
    </xf>
    <xf numFmtId="0" fontId="45" fillId="25" borderId="13" xfId="8" applyFont="1" applyFill="1" applyBorder="1" applyAlignment="1">
      <alignment horizontal="center" vertical="center"/>
    </xf>
    <xf numFmtId="0" fontId="24" fillId="12" borderId="31" xfId="0" applyFont="1" applyFill="1" applyBorder="1" applyAlignment="1" applyProtection="1">
      <alignment horizontal="center" vertical="center" wrapText="1"/>
    </xf>
    <xf numFmtId="0" fontId="24" fillId="12" borderId="32" xfId="0" applyFont="1" applyFill="1" applyBorder="1" applyAlignment="1" applyProtection="1">
      <alignment horizontal="center" vertical="center" wrapText="1"/>
    </xf>
    <xf numFmtId="0" fontId="24" fillId="12" borderId="33" xfId="0" applyFont="1" applyFill="1" applyBorder="1" applyAlignment="1" applyProtection="1">
      <alignment horizontal="center" vertical="center" wrapText="1"/>
    </xf>
    <xf numFmtId="0" fontId="37" fillId="11" borderId="47" xfId="1" applyNumberFormat="1" applyFont="1" applyFill="1" applyBorder="1" applyAlignment="1" applyProtection="1">
      <alignment horizontal="center" vertical="center" wrapText="1"/>
    </xf>
    <xf numFmtId="0" fontId="37" fillId="11" borderId="33" xfId="1" applyNumberFormat="1" applyFont="1" applyFill="1" applyBorder="1" applyAlignment="1" applyProtection="1">
      <alignment horizontal="center" vertical="center" wrapText="1"/>
    </xf>
    <xf numFmtId="0" fontId="24" fillId="12" borderId="35" xfId="0" applyFont="1" applyFill="1" applyBorder="1" applyAlignment="1" applyProtection="1">
      <alignment horizontal="left" vertical="center" wrapText="1"/>
    </xf>
    <xf numFmtId="0" fontId="24" fillId="12" borderId="15" xfId="0" applyFont="1" applyFill="1" applyBorder="1" applyAlignment="1" applyProtection="1">
      <alignment horizontal="left" vertical="center" wrapText="1"/>
    </xf>
    <xf numFmtId="0" fontId="24" fillId="12" borderId="38" xfId="0" applyFont="1" applyFill="1" applyBorder="1" applyAlignment="1" applyProtection="1">
      <alignment horizontal="left" vertical="center" wrapText="1"/>
    </xf>
    <xf numFmtId="0" fontId="23" fillId="12" borderId="31" xfId="0" applyFont="1" applyFill="1" applyBorder="1" applyAlignment="1" applyProtection="1">
      <alignment horizontal="center" vertical="center" wrapText="1"/>
    </xf>
    <xf numFmtId="0" fontId="23" fillId="12" borderId="32" xfId="0" applyFont="1" applyFill="1" applyBorder="1" applyAlignment="1" applyProtection="1">
      <alignment horizontal="center" vertical="center" wrapText="1"/>
    </xf>
    <xf numFmtId="0" fontId="23" fillId="12" borderId="33" xfId="0" applyFont="1" applyFill="1" applyBorder="1" applyAlignment="1" applyProtection="1">
      <alignment horizontal="center" vertical="center" wrapText="1"/>
    </xf>
    <xf numFmtId="0" fontId="24" fillId="12" borderId="18" xfId="0" applyFont="1" applyFill="1" applyBorder="1" applyAlignment="1" applyProtection="1">
      <alignment horizontal="left" vertical="center" wrapText="1"/>
    </xf>
    <xf numFmtId="0" fontId="24" fillId="12" borderId="21" xfId="0" applyFont="1" applyFill="1" applyBorder="1" applyAlignment="1" applyProtection="1">
      <alignment horizontal="left" vertical="center" wrapText="1"/>
    </xf>
    <xf numFmtId="0" fontId="24" fillId="12" borderId="27" xfId="0" applyFont="1" applyFill="1" applyBorder="1" applyAlignment="1" applyProtection="1">
      <alignment horizontal="left" vertical="center" wrapText="1"/>
    </xf>
    <xf numFmtId="0" fontId="24" fillId="24" borderId="31" xfId="0" applyFont="1" applyFill="1" applyBorder="1" applyAlignment="1" applyProtection="1">
      <alignment horizontal="center" vertical="center" wrapText="1"/>
    </xf>
    <xf numFmtId="0" fontId="24" fillId="24" borderId="32" xfId="0" applyFont="1" applyFill="1" applyBorder="1" applyAlignment="1" applyProtection="1">
      <alignment horizontal="center" vertical="center" wrapText="1"/>
    </xf>
    <xf numFmtId="0" fontId="24" fillId="24" borderId="33" xfId="0" applyFont="1" applyFill="1" applyBorder="1" applyAlignment="1" applyProtection="1">
      <alignment horizontal="center" vertical="center" wrapText="1"/>
    </xf>
    <xf numFmtId="0" fontId="24" fillId="24" borderId="18" xfId="0" applyFont="1" applyFill="1" applyBorder="1" applyAlignment="1" applyProtection="1">
      <alignment horizontal="left" vertical="center" wrapText="1"/>
    </xf>
    <xf numFmtId="0" fontId="24" fillId="24" borderId="21" xfId="0" applyFont="1" applyFill="1" applyBorder="1" applyAlignment="1" applyProtection="1">
      <alignment horizontal="left" vertical="center" wrapText="1"/>
    </xf>
    <xf numFmtId="0" fontId="24" fillId="24" borderId="27" xfId="0" applyFont="1" applyFill="1" applyBorder="1" applyAlignment="1" applyProtection="1">
      <alignment horizontal="left" vertical="center" wrapText="1"/>
    </xf>
    <xf numFmtId="0" fontId="24" fillId="24" borderId="35" xfId="0" applyFont="1" applyFill="1" applyBorder="1" applyAlignment="1" applyProtection="1">
      <alignment horizontal="left" vertical="center" wrapText="1"/>
    </xf>
    <xf numFmtId="0" fontId="24" fillId="24" borderId="15" xfId="0" applyFont="1" applyFill="1" applyBorder="1" applyAlignment="1" applyProtection="1">
      <alignment horizontal="left" vertical="center" wrapText="1"/>
    </xf>
    <xf numFmtId="0" fontId="24" fillId="24" borderId="38" xfId="0" applyFont="1" applyFill="1" applyBorder="1" applyAlignment="1" applyProtection="1">
      <alignment horizontal="left" vertical="center" wrapText="1"/>
    </xf>
    <xf numFmtId="0" fontId="23" fillId="24" borderId="31" xfId="0" applyFont="1" applyFill="1" applyBorder="1" applyAlignment="1" applyProtection="1">
      <alignment horizontal="center" vertical="center" wrapText="1"/>
    </xf>
    <xf numFmtId="0" fontId="23" fillId="24" borderId="32" xfId="0" applyFont="1" applyFill="1" applyBorder="1" applyAlignment="1" applyProtection="1">
      <alignment horizontal="center" vertical="center" wrapText="1"/>
    </xf>
    <xf numFmtId="0" fontId="23" fillId="24" borderId="33" xfId="0" applyFont="1" applyFill="1" applyBorder="1" applyAlignment="1" applyProtection="1">
      <alignment horizontal="center" vertical="center" wrapText="1"/>
    </xf>
    <xf numFmtId="0" fontId="37" fillId="24" borderId="47" xfId="1" applyNumberFormat="1" applyFont="1" applyFill="1" applyBorder="1" applyAlignment="1" applyProtection="1">
      <alignment horizontal="center" vertical="center" wrapText="1"/>
    </xf>
    <xf numFmtId="0" fontId="37" fillId="24" borderId="33" xfId="1" applyNumberFormat="1" applyFont="1" applyFill="1" applyBorder="1" applyAlignment="1" applyProtection="1">
      <alignment horizontal="center" vertical="center" wrapText="1"/>
    </xf>
    <xf numFmtId="0" fontId="62" fillId="0" borderId="0" xfId="0" applyFont="1" applyAlignment="1" applyProtection="1">
      <alignment horizontal="left" vertical="center"/>
    </xf>
    <xf numFmtId="0" fontId="63" fillId="0" borderId="0" xfId="0" applyFont="1" applyAlignment="1" applyProtection="1">
      <alignment horizontal="left" vertical="center"/>
    </xf>
    <xf numFmtId="0" fontId="38" fillId="33" borderId="18" xfId="10" applyFont="1" applyFill="1" applyBorder="1" applyAlignment="1">
      <alignment horizontal="left"/>
    </xf>
    <xf numFmtId="0" fontId="38" fillId="33" borderId="20" xfId="10" applyFont="1" applyFill="1" applyBorder="1" applyAlignment="1">
      <alignment horizontal="left"/>
    </xf>
    <xf numFmtId="0" fontId="38" fillId="35" borderId="18" xfId="10" applyFont="1" applyFill="1" applyBorder="1" applyAlignment="1">
      <alignment horizontal="left"/>
    </xf>
    <xf numFmtId="0" fontId="38" fillId="35" borderId="20" xfId="10" applyFont="1" applyFill="1" applyBorder="1" applyAlignment="1">
      <alignment horizontal="left"/>
    </xf>
    <xf numFmtId="0" fontId="38" fillId="37" borderId="18" xfId="10" applyFont="1" applyFill="1" applyBorder="1" applyAlignment="1">
      <alignment horizontal="left"/>
    </xf>
    <xf numFmtId="0" fontId="38" fillId="37" borderId="20" xfId="10" applyFont="1" applyFill="1" applyBorder="1" applyAlignment="1">
      <alignment horizontal="left"/>
    </xf>
    <xf numFmtId="0" fontId="38" fillId="39" borderId="18" xfId="10" applyFont="1" applyFill="1" applyBorder="1" applyAlignment="1">
      <alignment horizontal="left" vertical="center" wrapText="1"/>
    </xf>
    <xf numFmtId="0" fontId="38" fillId="39" borderId="20" xfId="10" applyFont="1" applyFill="1" applyBorder="1" applyAlignment="1">
      <alignment horizontal="left" vertical="center" wrapText="1"/>
    </xf>
    <xf numFmtId="0" fontId="56" fillId="31" borderId="24" xfId="11" applyFont="1" applyFill="1" applyBorder="1" applyAlignment="1">
      <alignment horizontal="center" vertical="center"/>
    </xf>
    <xf numFmtId="0" fontId="56" fillId="32" borderId="24" xfId="11" applyFont="1" applyFill="1" applyBorder="1" applyAlignment="1">
      <alignment horizontal="center" vertical="center"/>
    </xf>
    <xf numFmtId="0" fontId="0" fillId="15" borderId="0" xfId="0" applyFill="1" applyAlignment="1">
      <alignment horizontal="center" vertical="top" wrapText="1"/>
    </xf>
  </cellXfs>
  <cellStyles count="15">
    <cellStyle name="Comma" xfId="1" builtinId="3"/>
    <cellStyle name="Hyperlink" xfId="3" builtinId="8"/>
    <cellStyle name="Hyperlink 2" xfId="6" xr:uid="{00000000-0005-0000-0000-000002000000}"/>
    <cellStyle name="Lien hypertexte 2" xfId="4" xr:uid="{00000000-0005-0000-0000-000003000000}"/>
    <cellStyle name="Lien hypertexte_120417_OECD_EXP_2012_mio EURO_NACE 2_ICEDD_test_3" xfId="5" xr:uid="{00000000-0005-0000-0000-000004000000}"/>
    <cellStyle name="Normal" xfId="0" builtinId="0"/>
    <cellStyle name="Normal 2" xfId="2" xr:uid="{00000000-0005-0000-0000-000006000000}"/>
    <cellStyle name="Normal 2 2 2" xfId="7" xr:uid="{00000000-0005-0000-0000-000007000000}"/>
    <cellStyle name="Normal 2 2 2 2" xfId="10" xr:uid="{00000000-0005-0000-0000-000008000000}"/>
    <cellStyle name="Normal 3" xfId="11" xr:uid="{00000000-0005-0000-0000-000009000000}"/>
    <cellStyle name="Normal 6" xfId="8" xr:uid="{00000000-0005-0000-0000-00000A000000}"/>
    <cellStyle name="Normal 7" xfId="13" xr:uid="{00000000-0005-0000-0000-00000B000000}"/>
    <cellStyle name="Normal 8" xfId="14" xr:uid="{00000000-0005-0000-0000-00000C000000}"/>
    <cellStyle name="Normal 9" xfId="9" xr:uid="{00000000-0005-0000-0000-00000D000000}"/>
    <cellStyle name="Normal 9 2" xfId="12" xr:uid="{00000000-0005-0000-0000-00000E000000}"/>
  </cellStyles>
  <dxfs count="0"/>
  <tableStyles count="0" defaultTableStyle="TableStyleMedium2" defaultPivotStyle="PivotStyleLight16"/>
  <colors>
    <mruColors>
      <color rgb="FF266865"/>
      <color rgb="FF41AFAA"/>
      <color rgb="FFB381D9"/>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2</xdr:col>
      <xdr:colOff>4413256</xdr:colOff>
      <xdr:row>1</xdr:row>
      <xdr:rowOff>304801</xdr:rowOff>
    </xdr:from>
    <xdr:to>
      <xdr:col>3</xdr:col>
      <xdr:colOff>4889</xdr:colOff>
      <xdr:row>1</xdr:row>
      <xdr:rowOff>642183</xdr:rowOff>
    </xdr:to>
    <xdr:pic>
      <xdr:nvPicPr>
        <xdr:cNvPr id="2" name="Picture 1" descr="estat RGB">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94256" y="476251"/>
          <a:ext cx="2382958" cy="3373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xdr:row>
      <xdr:rowOff>104776</xdr:rowOff>
    </xdr:from>
    <xdr:to>
      <xdr:col>2</xdr:col>
      <xdr:colOff>1628775</xdr:colOff>
      <xdr:row>3</xdr:row>
      <xdr:rowOff>24119</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81000" y="276226"/>
          <a:ext cx="1628775" cy="8051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9524</xdr:colOff>
      <xdr:row>1</xdr:row>
      <xdr:rowOff>34890</xdr:rowOff>
    </xdr:from>
    <xdr:to>
      <xdr:col>2</xdr:col>
      <xdr:colOff>1056495</xdr:colOff>
      <xdr:row>2</xdr:row>
      <xdr:rowOff>85725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6224" y="120615"/>
          <a:ext cx="1046971" cy="517560"/>
        </a:xfrm>
        <a:prstGeom prst="rect">
          <a:avLst/>
        </a:prstGeom>
      </xdr:spPr>
    </xdr:pic>
    <xdr:clientData/>
  </xdr:twoCellAnchor>
  <xdr:twoCellAnchor editAs="oneCell">
    <xdr:from>
      <xdr:col>4</xdr:col>
      <xdr:colOff>710045</xdr:colOff>
      <xdr:row>1</xdr:row>
      <xdr:rowOff>121227</xdr:rowOff>
    </xdr:from>
    <xdr:to>
      <xdr:col>4</xdr:col>
      <xdr:colOff>3046532</xdr:colOff>
      <xdr:row>1</xdr:row>
      <xdr:rowOff>455652</xdr:rowOff>
    </xdr:to>
    <xdr:pic>
      <xdr:nvPicPr>
        <xdr:cNvPr id="3" name="Picture 2" descr="estat RGB">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587095" y="206952"/>
          <a:ext cx="2336487" cy="33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xdr:row>
      <xdr:rowOff>44416</xdr:rowOff>
    </xdr:from>
    <xdr:to>
      <xdr:col>3</xdr:col>
      <xdr:colOff>57150</xdr:colOff>
      <xdr:row>2</xdr:row>
      <xdr:rowOff>176086</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6700" y="206341"/>
          <a:ext cx="1200150" cy="665070"/>
        </a:xfrm>
        <a:prstGeom prst="rect">
          <a:avLst/>
        </a:prstGeom>
      </xdr:spPr>
    </xdr:pic>
    <xdr:clientData/>
  </xdr:twoCellAnchor>
  <xdr:twoCellAnchor editAs="oneCell">
    <xdr:from>
      <xdr:col>4</xdr:col>
      <xdr:colOff>3990971</xdr:colOff>
      <xdr:row>1</xdr:row>
      <xdr:rowOff>161926</xdr:rowOff>
    </xdr:from>
    <xdr:to>
      <xdr:col>6</xdr:col>
      <xdr:colOff>1704</xdr:colOff>
      <xdr:row>1</xdr:row>
      <xdr:rowOff>502378</xdr:rowOff>
    </xdr:to>
    <xdr:pic>
      <xdr:nvPicPr>
        <xdr:cNvPr id="3" name="Picture 2" descr="estat RGB">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734171" y="323851"/>
          <a:ext cx="2382958" cy="3404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0</xdr:colOff>
      <xdr:row>1</xdr:row>
      <xdr:rowOff>44416</xdr:rowOff>
    </xdr:from>
    <xdr:ext cx="1200150" cy="665070"/>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6700" y="206341"/>
          <a:ext cx="1200150" cy="665070"/>
        </a:xfrm>
        <a:prstGeom prst="rect">
          <a:avLst/>
        </a:prstGeom>
      </xdr:spPr>
    </xdr:pic>
    <xdr:clientData/>
  </xdr:oneCellAnchor>
  <xdr:oneCellAnchor>
    <xdr:from>
      <xdr:col>4</xdr:col>
      <xdr:colOff>3994147</xdr:colOff>
      <xdr:row>1</xdr:row>
      <xdr:rowOff>142875</xdr:rowOff>
    </xdr:from>
    <xdr:ext cx="2382958" cy="354313"/>
    <xdr:pic>
      <xdr:nvPicPr>
        <xdr:cNvPr id="3" name="Picture 2" descr="estat RGB">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737347" y="304800"/>
          <a:ext cx="2382958" cy="35431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2</xdr:col>
      <xdr:colOff>0</xdr:colOff>
      <xdr:row>1</xdr:row>
      <xdr:rowOff>44416</xdr:rowOff>
    </xdr:from>
    <xdr:to>
      <xdr:col>3</xdr:col>
      <xdr:colOff>952500</xdr:colOff>
      <xdr:row>2</xdr:row>
      <xdr:rowOff>176086</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6700" y="206341"/>
          <a:ext cx="1247775" cy="665070"/>
        </a:xfrm>
        <a:prstGeom prst="rect">
          <a:avLst/>
        </a:prstGeom>
      </xdr:spPr>
    </xdr:pic>
    <xdr:clientData/>
  </xdr:twoCellAnchor>
  <xdr:twoCellAnchor editAs="oneCell">
    <xdr:from>
      <xdr:col>5</xdr:col>
      <xdr:colOff>31749</xdr:colOff>
      <xdr:row>1</xdr:row>
      <xdr:rowOff>142876</xdr:rowOff>
    </xdr:from>
    <xdr:to>
      <xdr:col>5</xdr:col>
      <xdr:colOff>2319457</xdr:colOff>
      <xdr:row>1</xdr:row>
      <xdr:rowOff>489774</xdr:rowOff>
    </xdr:to>
    <xdr:pic>
      <xdr:nvPicPr>
        <xdr:cNvPr id="3" name="Picture 2" descr="estat RGB">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375399" y="304801"/>
          <a:ext cx="2287708" cy="346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0</xdr:colOff>
      <xdr:row>1</xdr:row>
      <xdr:rowOff>44416</xdr:rowOff>
    </xdr:from>
    <xdr:to>
      <xdr:col>3</xdr:col>
      <xdr:colOff>114300</xdr:colOff>
      <xdr:row>2</xdr:row>
      <xdr:rowOff>101600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5275" y="206341"/>
          <a:ext cx="1162050" cy="593759"/>
        </a:xfrm>
        <a:prstGeom prst="rect">
          <a:avLst/>
        </a:prstGeom>
      </xdr:spPr>
    </xdr:pic>
    <xdr:clientData/>
  </xdr:twoCellAnchor>
  <xdr:twoCellAnchor editAs="oneCell">
    <xdr:from>
      <xdr:col>6</xdr:col>
      <xdr:colOff>2035180</xdr:colOff>
      <xdr:row>1</xdr:row>
      <xdr:rowOff>142876</xdr:rowOff>
    </xdr:from>
    <xdr:to>
      <xdr:col>6</xdr:col>
      <xdr:colOff>4381500</xdr:colOff>
      <xdr:row>1</xdr:row>
      <xdr:rowOff>501650</xdr:rowOff>
    </xdr:to>
    <xdr:pic>
      <xdr:nvPicPr>
        <xdr:cNvPr id="3" name="Picture 2" descr="estat RGB">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159630" y="304801"/>
          <a:ext cx="2346320" cy="3619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6248400</xdr:colOff>
      <xdr:row>1</xdr:row>
      <xdr:rowOff>184150</xdr:rowOff>
    </xdr:from>
    <xdr:to>
      <xdr:col>5</xdr:col>
      <xdr:colOff>1095</xdr:colOff>
      <xdr:row>2</xdr:row>
      <xdr:rowOff>2473</xdr:rowOff>
    </xdr:to>
    <xdr:pic>
      <xdr:nvPicPr>
        <xdr:cNvPr id="2" name="Picture 1" descr="estat RGB">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38975" y="307975"/>
          <a:ext cx="2477595" cy="3326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146297</xdr:colOff>
      <xdr:row>1</xdr:row>
      <xdr:rowOff>76200</xdr:rowOff>
    </xdr:from>
    <xdr:to>
      <xdr:col>4</xdr:col>
      <xdr:colOff>542925</xdr:colOff>
      <xdr:row>2</xdr:row>
      <xdr:rowOff>140571</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9172" y="200025"/>
          <a:ext cx="1044328" cy="57872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247650</xdr:colOff>
          <xdr:row>3</xdr:row>
          <xdr:rowOff>107950</xdr:rowOff>
        </xdr:from>
        <xdr:to>
          <xdr:col>5</xdr:col>
          <xdr:colOff>946150</xdr:colOff>
          <xdr:row>4</xdr:row>
          <xdr:rowOff>260350</xdr:rowOff>
        </xdr:to>
        <xdr:sp macro="" textlink="">
          <xdr:nvSpPr>
            <xdr:cNvPr id="6145" name="formulas" descr="Lock formulas" hidden="1">
              <a:extLst>
                <a:ext uri="{63B3BB69-23CF-44E3-9099-C40C66FF867C}">
                  <a14:compatExt spid="_x0000_s6145"/>
                </a:ext>
                <a:ext uri="{FF2B5EF4-FFF2-40B4-BE49-F238E27FC236}">
                  <a16:creationId xmlns:a16="http://schemas.microsoft.com/office/drawing/2014/main" id="{00000000-0008-0000-07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E" sz="1100" b="0" i="0" u="none" strike="noStrike" baseline="0">
                  <a:solidFill>
                    <a:srgbClr val="000000"/>
                  </a:solidFill>
                  <a:latin typeface="Calibri"/>
                  <a:ea typeface="Calibri"/>
                  <a:cs typeface="Calibri"/>
                </a:rPr>
                <a:t>Unlock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812800</xdr:colOff>
          <xdr:row>3</xdr:row>
          <xdr:rowOff>57150</xdr:rowOff>
        </xdr:from>
        <xdr:to>
          <xdr:col>3</xdr:col>
          <xdr:colOff>1733550</xdr:colOff>
          <xdr:row>4</xdr:row>
          <xdr:rowOff>260350</xdr:rowOff>
        </xdr:to>
        <xdr:sp macro="" textlink="">
          <xdr:nvSpPr>
            <xdr:cNvPr id="6147" name="formulas" descr="Lock formulas" hidden="1">
              <a:extLst>
                <a:ext uri="{63B3BB69-23CF-44E3-9099-C40C66FF867C}">
                  <a14:compatExt spid="_x0000_s6147"/>
                </a:ext>
                <a:ext uri="{FF2B5EF4-FFF2-40B4-BE49-F238E27FC236}">
                  <a16:creationId xmlns:a16="http://schemas.microsoft.com/office/drawing/2014/main" id="{00000000-0008-0000-0700-000003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E" sz="1100" b="1" i="0" u="none" strike="noStrike" baseline="0">
                  <a:solidFill>
                    <a:srgbClr val="000000"/>
                  </a:solidFill>
                  <a:latin typeface="Calibri"/>
                  <a:ea typeface="Calibri"/>
                  <a:cs typeface="Calibri"/>
                </a:rPr>
                <a:t>Validate questionnaire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1879600</xdr:colOff>
          <xdr:row>3</xdr:row>
          <xdr:rowOff>57150</xdr:rowOff>
        </xdr:from>
        <xdr:to>
          <xdr:col>3</xdr:col>
          <xdr:colOff>2800350</xdr:colOff>
          <xdr:row>4</xdr:row>
          <xdr:rowOff>260350</xdr:rowOff>
        </xdr:to>
        <xdr:sp macro="" textlink="">
          <xdr:nvSpPr>
            <xdr:cNvPr id="6148" name="formulas" descr="Lock formulas" hidden="1">
              <a:extLst>
                <a:ext uri="{63B3BB69-23CF-44E3-9099-C40C66FF867C}">
                  <a14:compatExt spid="_x0000_s6148"/>
                </a:ext>
                <a:ext uri="{FF2B5EF4-FFF2-40B4-BE49-F238E27FC236}">
                  <a16:creationId xmlns:a16="http://schemas.microsoft.com/office/drawing/2014/main" id="{00000000-0008-0000-0700-00000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E" sz="1100" b="1" i="0" u="none" strike="noStrike" baseline="0">
                  <a:solidFill>
                    <a:srgbClr val="000000"/>
                  </a:solidFill>
                  <a:latin typeface="Calibri"/>
                  <a:ea typeface="Calibri"/>
                  <a:cs typeface="Calibri"/>
                </a:rPr>
                <a:t>Restore table colour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838200</xdr:colOff>
          <xdr:row>3</xdr:row>
          <xdr:rowOff>50800</xdr:rowOff>
        </xdr:from>
        <xdr:to>
          <xdr:col>5</xdr:col>
          <xdr:colOff>552450</xdr:colOff>
          <xdr:row>4</xdr:row>
          <xdr:rowOff>247650</xdr:rowOff>
        </xdr:to>
        <xdr:sp macro="" textlink="">
          <xdr:nvSpPr>
            <xdr:cNvPr id="26631" name="Button 7" descr="Lock formulas" hidden="1">
              <a:extLst>
                <a:ext uri="{63B3BB69-23CF-44E3-9099-C40C66FF867C}">
                  <a14:compatExt spid="_x0000_s26631"/>
                </a:ext>
                <a:ext uri="{FF2B5EF4-FFF2-40B4-BE49-F238E27FC236}">
                  <a16:creationId xmlns:a16="http://schemas.microsoft.com/office/drawing/2014/main" id="{00000000-0008-0000-0900-0000076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IE" sz="2200" b="1" i="0" u="none" strike="noStrike" baseline="0">
                  <a:solidFill>
                    <a:srgbClr val="000000"/>
                  </a:solidFill>
                  <a:latin typeface="Calibri"/>
                  <a:ea typeface="Calibri"/>
                  <a:cs typeface="Calibri"/>
                </a:rPr>
                <a:t>PASTE TO TABLE_1</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https://webgate.ec.europa.eu/estat/spe/metaconv/home.htm" TargetMode="External"/><Relationship Id="rId2" Type="http://schemas.openxmlformats.org/officeDocument/2006/relationships/hyperlink" Target="https://ec.europa.eu/eurostat/web/waste/methodology" TargetMode="External"/><Relationship Id="rId1" Type="http://schemas.openxmlformats.org/officeDocument/2006/relationships/hyperlink" Target="https://webgate.ec.europa.eu/edamis/helpcenter/website/index.htm" TargetMode="Externa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ec.europa.eu/eurostat/web/waste/legislation" TargetMode="External"/><Relationship Id="rId1" Type="http://schemas.openxmlformats.org/officeDocument/2006/relationships/hyperlink" Target="https://ec.europa.eu/eurostat/web/waste/methodology" TargetMode="Externa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trlProp" Target="../ctrlProps/ctrlProp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hyperlink" Target="https://ec.europa.eu/eurostat/web/waste/legislation" TargetMode="External"/><Relationship Id="rId2" Type="http://schemas.openxmlformats.org/officeDocument/2006/relationships/hyperlink" Target="https://ec.europa.eu/eurostat/web/waste/methodology" TargetMode="External"/><Relationship Id="rId1" Type="http://schemas.openxmlformats.org/officeDocument/2006/relationships/hyperlink" Target="https://webgate.ec.europa.eu/edamis/helpcenter/website/index.htm" TargetMode="External"/><Relationship Id="rId4"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1">
    <tabColor rgb="FFB9C337"/>
    <pageSetUpPr fitToPage="1"/>
  </sheetPr>
  <dimension ref="B1:D9"/>
  <sheetViews>
    <sheetView showGridLines="0" tabSelected="1" workbookViewId="0"/>
  </sheetViews>
  <sheetFormatPr defaultColWidth="9.1796875" defaultRowHeight="12.5" x14ac:dyDescent="0.25"/>
  <cols>
    <col min="1" max="1" width="2.54296875" style="152" customWidth="1"/>
    <col min="2" max="2" width="3.1796875" style="152" customWidth="1"/>
    <col min="3" max="3" width="101.81640625" style="152" customWidth="1"/>
    <col min="4" max="4" width="3" style="152" customWidth="1"/>
    <col min="5" max="16384" width="9.1796875" style="152"/>
  </cols>
  <sheetData>
    <row r="1" spans="2:4" ht="13" thickBot="1" x14ac:dyDescent="0.3"/>
    <row r="2" spans="2:4" ht="56.25" customHeight="1" x14ac:dyDescent="0.3">
      <c r="B2" s="153"/>
      <c r="C2" s="154"/>
      <c r="D2" s="155"/>
    </row>
    <row r="3" spans="2:4" ht="13.5" customHeight="1" x14ac:dyDescent="0.25">
      <c r="B3" s="156"/>
      <c r="C3" s="157" t="str">
        <f>UPPER(Lists!K3)</f>
        <v>STATISTICAL OFFICE OF THE EUROPEAN UNION</v>
      </c>
      <c r="D3" s="158"/>
    </row>
    <row r="4" spans="2:4" ht="17.5" customHeight="1" x14ac:dyDescent="0.35">
      <c r="B4" s="156"/>
      <c r="C4" s="159"/>
      <c r="D4" s="158"/>
    </row>
    <row r="5" spans="2:4" ht="36.75" customHeight="1" thickBot="1" x14ac:dyDescent="0.3">
      <c r="B5" s="156"/>
      <c r="C5" s="160" t="str">
        <f>Lists!K4</f>
        <v>Directorate E: Sectoral and regional statistics</v>
      </c>
      <c r="D5" s="158"/>
    </row>
    <row r="6" spans="2:4" ht="26.25" customHeight="1" x14ac:dyDescent="0.25">
      <c r="B6" s="156"/>
      <c r="C6" s="161" t="str">
        <f>Lists!K5</f>
        <v>Unit E-2: Environmental statistics and accounts; sustainable development</v>
      </c>
      <c r="D6" s="158"/>
    </row>
    <row r="7" spans="2:4" ht="125.25" customHeight="1" x14ac:dyDescent="0.25">
      <c r="B7" s="156"/>
      <c r="C7" s="162" t="str">
        <f>UPPER(Lists!K7)</f>
        <v>BIENNIAL WASTE STATISTICS REGULATION - WASTE TREATMENT</v>
      </c>
      <c r="D7" s="158"/>
    </row>
    <row r="8" spans="2:4" ht="39" customHeight="1" thickBot="1" x14ac:dyDescent="0.3">
      <c r="B8" s="156"/>
      <c r="C8" s="160" t="str">
        <f>CONCATENATE(Lists!K8," DATA COLLECTION")</f>
        <v>2026 DATA COLLECTION</v>
      </c>
      <c r="D8" s="158"/>
    </row>
    <row r="9" spans="2:4" ht="56.25" customHeight="1" thickBot="1" x14ac:dyDescent="0.3">
      <c r="B9" s="163"/>
      <c r="C9" s="164" t="str">
        <f>CONCATENATE("Launching date: ",Lists!K9)</f>
        <v>Launching date: 19 May 2026</v>
      </c>
      <c r="D9" s="165"/>
    </row>
  </sheetData>
  <sheetProtection algorithmName="SHA-512" hashValue="njpuXgr+Pv0pIab5R/dTerPlN1/U6YMODxT/7SUui+7xYmk59nJsTC2GmudDmOslFGNeeQr1NZnzrtbC1K47Rg==" saltValue="Mju0OSy6CQ4r0RS0jVbL0g==" spinCount="100000" sheet="1" objects="1" scenarios="1" selectLockedCells="1" selectUnlockedCells="1"/>
  <pageMargins left="0.70866141732283472" right="0.70866141732283472" top="0.74803149606299213" bottom="0.74803149606299213" header="0.31496062992125984" footer="0.31496062992125984"/>
  <pageSetup paperSize="9" fitToHeight="0" orientation="landscape" verticalDpi="0" r:id="rId1"/>
  <headerFooter>
    <oddFooter>&amp;L&amp;F&amp;CPage &amp;P of &amp;N&amp;R&amp;A</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4">
    <tabColor rgb="FFB9C337"/>
    <pageSetUpPr fitToPage="1"/>
  </sheetPr>
  <dimension ref="B1:BO20"/>
  <sheetViews>
    <sheetView showGridLines="0" zoomScaleNormal="100" workbookViewId="0"/>
  </sheetViews>
  <sheetFormatPr defaultColWidth="9.1796875" defaultRowHeight="11.5" x14ac:dyDescent="0.35"/>
  <cols>
    <col min="1" max="1" width="2.54296875" style="166" customWidth="1"/>
    <col min="2" max="2" width="1.453125" style="166" customWidth="1"/>
    <col min="3" max="3" width="19.453125" style="166" customWidth="1"/>
    <col min="4" max="4" width="79.7265625" style="166" customWidth="1"/>
    <col min="5" max="5" width="45.81640625" style="166" customWidth="1"/>
    <col min="6" max="6" width="1.26953125" style="166" customWidth="1"/>
    <col min="7" max="67" width="11.453125" style="167" customWidth="1"/>
    <col min="68" max="16384" width="9.1796875" style="166"/>
  </cols>
  <sheetData>
    <row r="1" spans="2:67" ht="6.75" customHeight="1" thickBot="1" x14ac:dyDescent="0.4"/>
    <row r="2" spans="2:67" s="171" customFormat="1" ht="36.75" customHeight="1" x14ac:dyDescent="0.25">
      <c r="B2" s="168"/>
      <c r="C2" s="491"/>
      <c r="D2" s="491"/>
      <c r="E2" s="491"/>
      <c r="F2" s="169"/>
      <c r="G2" s="170"/>
      <c r="H2" s="170"/>
      <c r="I2" s="170"/>
      <c r="J2" s="170"/>
      <c r="K2" s="170"/>
      <c r="L2" s="170"/>
      <c r="M2" s="170"/>
      <c r="N2" s="170"/>
      <c r="O2" s="170"/>
      <c r="P2" s="170"/>
      <c r="Q2" s="170"/>
      <c r="R2" s="170"/>
      <c r="S2" s="170"/>
      <c r="T2" s="170"/>
      <c r="U2" s="170"/>
      <c r="V2" s="170"/>
      <c r="W2" s="170"/>
      <c r="X2" s="170"/>
      <c r="Y2" s="170"/>
      <c r="Z2" s="170"/>
      <c r="AA2" s="170"/>
      <c r="AB2" s="170"/>
      <c r="AC2" s="170"/>
      <c r="AD2" s="170"/>
      <c r="AE2" s="170"/>
      <c r="AF2" s="170"/>
      <c r="AG2" s="170"/>
      <c r="AH2" s="170"/>
      <c r="AI2" s="170"/>
      <c r="AJ2" s="170"/>
      <c r="AK2" s="170"/>
      <c r="AL2" s="170"/>
      <c r="AM2" s="170"/>
      <c r="AN2" s="170"/>
      <c r="AO2" s="170"/>
      <c r="AP2" s="170"/>
      <c r="AQ2" s="170"/>
      <c r="AR2" s="170"/>
      <c r="AS2" s="170"/>
      <c r="AT2" s="170"/>
      <c r="AU2" s="170"/>
      <c r="AV2" s="170"/>
      <c r="AW2" s="170"/>
      <c r="AX2" s="170"/>
      <c r="AY2" s="170"/>
      <c r="AZ2" s="170"/>
      <c r="BA2" s="170"/>
      <c r="BB2" s="170"/>
      <c r="BC2" s="170"/>
      <c r="BD2" s="170"/>
      <c r="BE2" s="170"/>
      <c r="BF2" s="170"/>
      <c r="BG2" s="170"/>
      <c r="BH2" s="170"/>
      <c r="BI2" s="170"/>
      <c r="BJ2" s="170"/>
      <c r="BK2" s="170"/>
      <c r="BL2" s="170"/>
      <c r="BM2" s="170"/>
      <c r="BN2" s="170"/>
      <c r="BO2" s="170"/>
    </row>
    <row r="3" spans="2:67" s="177" customFormat="1" ht="14.5" customHeight="1" x14ac:dyDescent="0.35">
      <c r="B3" s="172"/>
      <c r="C3" s="173"/>
      <c r="D3" s="173"/>
      <c r="E3" s="174" t="str">
        <f>UPPER(Lists!K3)</f>
        <v>STATISTICAL OFFICE OF THE EUROPEAN UNION</v>
      </c>
      <c r="F3" s="175"/>
      <c r="G3" s="176"/>
      <c r="H3" s="176"/>
      <c r="I3" s="176"/>
      <c r="J3" s="176"/>
      <c r="K3" s="176"/>
      <c r="L3" s="176"/>
      <c r="M3" s="176"/>
      <c r="N3" s="176"/>
      <c r="O3" s="176"/>
      <c r="P3" s="176"/>
      <c r="Q3" s="176"/>
      <c r="R3" s="176"/>
      <c r="S3" s="176"/>
      <c r="T3" s="176"/>
      <c r="U3" s="176"/>
      <c r="V3" s="176"/>
      <c r="W3" s="176"/>
      <c r="X3" s="176"/>
      <c r="Y3" s="176"/>
      <c r="Z3" s="176"/>
      <c r="AA3" s="176"/>
      <c r="AB3" s="176"/>
      <c r="AC3" s="176"/>
      <c r="AD3" s="176"/>
      <c r="AE3" s="176"/>
      <c r="AF3" s="176"/>
      <c r="AG3" s="176"/>
      <c r="AH3" s="176"/>
      <c r="AI3" s="176"/>
      <c r="AJ3" s="176"/>
      <c r="AK3" s="176"/>
      <c r="AL3" s="176"/>
      <c r="AM3" s="176"/>
      <c r="AN3" s="176"/>
      <c r="AO3" s="176"/>
      <c r="AP3" s="176"/>
      <c r="AQ3" s="176"/>
      <c r="AR3" s="176"/>
      <c r="AS3" s="176"/>
      <c r="AT3" s="176"/>
      <c r="AU3" s="176"/>
      <c r="AV3" s="176"/>
      <c r="AW3" s="176"/>
      <c r="AX3" s="176"/>
      <c r="AY3" s="176"/>
      <c r="AZ3" s="176"/>
      <c r="BA3" s="176"/>
      <c r="BB3" s="176"/>
      <c r="BC3" s="176"/>
      <c r="BD3" s="176"/>
      <c r="BE3" s="176"/>
      <c r="BF3" s="176"/>
      <c r="BG3" s="176"/>
      <c r="BH3" s="176"/>
      <c r="BI3" s="176"/>
      <c r="BJ3" s="176"/>
      <c r="BK3" s="176"/>
      <c r="BL3" s="176"/>
      <c r="BM3" s="176"/>
      <c r="BN3" s="176"/>
      <c r="BO3" s="176"/>
    </row>
    <row r="4" spans="2:67" ht="33.75" customHeight="1" x14ac:dyDescent="0.35">
      <c r="B4" s="178"/>
      <c r="C4" s="492" t="str">
        <f>UPPER(Lists!K7)</f>
        <v>BIENNIAL WASTE STATISTICS REGULATION - WASTE TREATMENT</v>
      </c>
      <c r="D4" s="492"/>
      <c r="E4" s="492"/>
      <c r="F4" s="179"/>
    </row>
    <row r="5" spans="2:67" ht="15.75" customHeight="1" x14ac:dyDescent="0.35">
      <c r="B5" s="180"/>
      <c r="C5" s="493" t="str">
        <f>CONCATENATE(Lists!K8," DATA COLLECTION")</f>
        <v>2026 DATA COLLECTION</v>
      </c>
      <c r="D5" s="493"/>
      <c r="E5" s="493"/>
      <c r="F5" s="181"/>
    </row>
    <row r="6" spans="2:67" ht="15.75" customHeight="1" thickBot="1" x14ac:dyDescent="0.4">
      <c r="B6" s="180"/>
      <c r="C6" s="182"/>
      <c r="D6" s="182"/>
      <c r="E6" s="182"/>
      <c r="F6" s="181"/>
    </row>
    <row r="7" spans="2:67" ht="30" customHeight="1" thickBot="1" x14ac:dyDescent="0.4">
      <c r="B7" s="183"/>
      <c r="C7" s="494" t="s">
        <v>430</v>
      </c>
      <c r="D7" s="494"/>
      <c r="E7" s="494"/>
      <c r="F7" s="184"/>
    </row>
    <row r="8" spans="2:67" ht="13.5" customHeight="1" x14ac:dyDescent="0.35">
      <c r="B8" s="183"/>
      <c r="C8" s="185"/>
      <c r="D8" s="185"/>
      <c r="E8" s="185"/>
      <c r="F8" s="184"/>
    </row>
    <row r="9" spans="2:67" s="187" customFormat="1" ht="19.5" customHeight="1" x14ac:dyDescent="0.35">
      <c r="B9" s="183"/>
      <c r="C9" s="490" t="s">
        <v>431</v>
      </c>
      <c r="D9" s="490"/>
      <c r="E9" s="490"/>
      <c r="F9" s="184"/>
      <c r="G9" s="186"/>
      <c r="H9" s="186"/>
      <c r="I9" s="186"/>
      <c r="J9" s="186"/>
      <c r="K9" s="186"/>
      <c r="L9" s="186"/>
      <c r="M9" s="186"/>
      <c r="N9" s="186"/>
      <c r="O9" s="186"/>
      <c r="P9" s="186"/>
      <c r="Q9" s="186"/>
      <c r="R9" s="186"/>
      <c r="S9" s="186"/>
      <c r="T9" s="186"/>
      <c r="U9" s="186"/>
      <c r="V9" s="186"/>
      <c r="W9" s="186"/>
      <c r="X9" s="186"/>
      <c r="Y9" s="186"/>
      <c r="Z9" s="186"/>
      <c r="AA9" s="186"/>
      <c r="AB9" s="186"/>
      <c r="AC9" s="186"/>
      <c r="AD9" s="186"/>
      <c r="AE9" s="186"/>
      <c r="AF9" s="186"/>
      <c r="AG9" s="186"/>
      <c r="AH9" s="186"/>
      <c r="AI9" s="186"/>
      <c r="AJ9" s="186"/>
      <c r="AK9" s="186"/>
      <c r="AL9" s="186"/>
      <c r="AM9" s="186"/>
      <c r="AN9" s="186"/>
      <c r="AO9" s="186"/>
      <c r="AP9" s="186"/>
      <c r="AQ9" s="186"/>
      <c r="AR9" s="186"/>
      <c r="AS9" s="186"/>
      <c r="AT9" s="186"/>
      <c r="AU9" s="186"/>
      <c r="AV9" s="186"/>
      <c r="AW9" s="186"/>
      <c r="AX9" s="186"/>
      <c r="AY9" s="186"/>
      <c r="AZ9" s="186"/>
      <c r="BA9" s="186"/>
      <c r="BB9" s="186"/>
      <c r="BC9" s="186"/>
      <c r="BD9" s="186"/>
      <c r="BE9" s="186"/>
      <c r="BF9" s="186"/>
      <c r="BG9" s="186"/>
      <c r="BH9" s="186"/>
      <c r="BI9" s="186"/>
      <c r="BJ9" s="186"/>
      <c r="BK9" s="186"/>
      <c r="BL9" s="186"/>
      <c r="BM9" s="186"/>
      <c r="BN9" s="186"/>
      <c r="BO9" s="186"/>
    </row>
    <row r="10" spans="2:67" ht="12" customHeight="1" x14ac:dyDescent="0.35">
      <c r="B10" s="183"/>
      <c r="C10" s="188" t="s">
        <v>173</v>
      </c>
      <c r="D10" s="189" t="s">
        <v>174</v>
      </c>
      <c r="E10" s="189" t="s">
        <v>175</v>
      </c>
      <c r="F10" s="184"/>
    </row>
    <row r="11" spans="2:67" ht="24" customHeight="1" x14ac:dyDescent="0.35">
      <c r="B11" s="183"/>
      <c r="C11" s="190" t="s">
        <v>176</v>
      </c>
      <c r="D11" s="191" t="s">
        <v>177</v>
      </c>
      <c r="E11" s="192" t="s">
        <v>178</v>
      </c>
      <c r="F11" s="184"/>
    </row>
    <row r="12" spans="2:67" ht="24" customHeight="1" x14ac:dyDescent="0.35">
      <c r="B12" s="183"/>
      <c r="C12" s="190" t="s">
        <v>179</v>
      </c>
      <c r="D12" s="191" t="s">
        <v>180</v>
      </c>
      <c r="E12" s="192" t="s">
        <v>181</v>
      </c>
      <c r="F12" s="184"/>
    </row>
    <row r="13" spans="2:67" ht="24" customHeight="1" x14ac:dyDescent="0.35">
      <c r="B13" s="183"/>
      <c r="C13" s="190" t="s">
        <v>182</v>
      </c>
      <c r="D13" s="191" t="s">
        <v>432</v>
      </c>
      <c r="E13" s="192" t="s">
        <v>181</v>
      </c>
      <c r="F13" s="184"/>
    </row>
    <row r="14" spans="2:67" ht="24" customHeight="1" x14ac:dyDescent="0.35">
      <c r="B14" s="183"/>
      <c r="C14" s="190" t="s">
        <v>433</v>
      </c>
      <c r="D14" s="191" t="s">
        <v>434</v>
      </c>
      <c r="E14" s="192" t="s">
        <v>181</v>
      </c>
      <c r="F14" s="184"/>
    </row>
    <row r="15" spans="2:67" s="194" customFormat="1" ht="19.5" customHeight="1" x14ac:dyDescent="0.35">
      <c r="B15" s="183"/>
      <c r="C15" s="490" t="s">
        <v>435</v>
      </c>
      <c r="D15" s="490"/>
      <c r="E15" s="490"/>
      <c r="F15" s="184"/>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193"/>
      <c r="AK15" s="193"/>
      <c r="AL15" s="193"/>
      <c r="AM15" s="193"/>
      <c r="AN15" s="193"/>
      <c r="AO15" s="193"/>
      <c r="AP15" s="193"/>
      <c r="AQ15" s="193"/>
      <c r="AR15" s="193"/>
      <c r="AS15" s="193"/>
      <c r="AT15" s="193"/>
      <c r="AU15" s="193"/>
      <c r="AV15" s="193"/>
      <c r="AW15" s="193"/>
      <c r="AX15" s="193"/>
      <c r="AY15" s="193"/>
      <c r="AZ15" s="193"/>
      <c r="BA15" s="193"/>
      <c r="BB15" s="193"/>
      <c r="BC15" s="193"/>
      <c r="BD15" s="193"/>
      <c r="BE15" s="193"/>
      <c r="BF15" s="193"/>
      <c r="BG15" s="193"/>
      <c r="BH15" s="193"/>
      <c r="BI15" s="193"/>
      <c r="BJ15" s="193"/>
      <c r="BK15" s="193"/>
      <c r="BL15" s="193"/>
      <c r="BM15" s="193"/>
      <c r="BN15" s="193"/>
      <c r="BO15" s="193"/>
    </row>
    <row r="16" spans="2:67" ht="12" customHeight="1" x14ac:dyDescent="0.35">
      <c r="B16" s="183"/>
      <c r="C16" s="188" t="s">
        <v>173</v>
      </c>
      <c r="D16" s="189" t="s">
        <v>174</v>
      </c>
      <c r="E16" s="189" t="s">
        <v>175</v>
      </c>
      <c r="F16" s="184"/>
    </row>
    <row r="17" spans="2:6" ht="23.25" customHeight="1" x14ac:dyDescent="0.35">
      <c r="B17" s="183"/>
      <c r="C17" s="195" t="s">
        <v>436</v>
      </c>
      <c r="D17" s="191" t="s">
        <v>437</v>
      </c>
      <c r="E17" s="192" t="s">
        <v>184</v>
      </c>
      <c r="F17" s="184"/>
    </row>
    <row r="18" spans="2:6" ht="23.25" customHeight="1" x14ac:dyDescent="0.35">
      <c r="B18" s="183"/>
      <c r="C18" s="195" t="s">
        <v>183</v>
      </c>
      <c r="D18" s="191" t="s">
        <v>292</v>
      </c>
      <c r="E18" s="192" t="s">
        <v>184</v>
      </c>
      <c r="F18" s="184"/>
    </row>
    <row r="19" spans="2:6" ht="23.25" customHeight="1" x14ac:dyDescent="0.35">
      <c r="B19" s="183"/>
      <c r="C19" s="196" t="s">
        <v>185</v>
      </c>
      <c r="D19" s="191" t="s">
        <v>577</v>
      </c>
      <c r="E19" s="192" t="s">
        <v>438</v>
      </c>
      <c r="F19" s="184"/>
    </row>
    <row r="20" spans="2:6" ht="8.25" customHeight="1" thickBot="1" x14ac:dyDescent="0.4">
      <c r="B20" s="197"/>
      <c r="C20" s="198"/>
      <c r="D20" s="198"/>
      <c r="E20" s="198"/>
      <c r="F20" s="199"/>
    </row>
  </sheetData>
  <sheetProtection algorithmName="SHA-512" hashValue="0YvNcSYe2lTps8zeBGRTHDWk4GEVY0RV0e8x7B6wbXbgj17UYfFGGiUR8PhvhOfywZpZ4IsUBJjcRnfDvsOjiw==" saltValue="onVTOui6PngstfUQbw/rsA==" spinCount="100000" sheet="1" objects="1" scenarios="1"/>
  <mergeCells count="6">
    <mergeCell ref="C15:E15"/>
    <mergeCell ref="C2:E2"/>
    <mergeCell ref="C4:E4"/>
    <mergeCell ref="C5:E5"/>
    <mergeCell ref="C7:E7"/>
    <mergeCell ref="C9:E9"/>
  </mergeCells>
  <hyperlinks>
    <hyperlink ref="D11" location="INDEX!A1" display="Structure of the questionnaire" xr:uid="{00000000-0004-0000-0100-000000000000}"/>
    <hyperlink ref="D12" location="'Basic Instructions'!A1" display="Basic instructions" xr:uid="{00000000-0004-0000-0100-000001000000}"/>
    <hyperlink ref="D13" location="Methodology!A1" display="Explanatory notes and methodology" xr:uid="{00000000-0004-0000-0100-000002000000}"/>
    <hyperlink ref="D19" location="Table_1!A1" display="Generation and recycling of packaging waste as established by Commission Decision 2005/270/EC as last amended by Commission Implementing Decision 2019/665" xr:uid="{00000000-0004-0000-0100-000003000000}"/>
    <hyperlink ref="D18" location="'Footnotes list'!A1" display="List of country-specific explanatory footnotes" xr:uid="{00000000-0004-0000-0100-000004000000}"/>
    <hyperlink ref="D17" location="'GETTING STARTED'!A1" display="Country and data collection definition. Administrative data." xr:uid="{00000000-0004-0000-0100-000005000000}"/>
    <hyperlink ref="D14" location="'Validation rules'!A1" display="Validation performed by the 'Validate questionnaire' button" xr:uid="{00000000-0004-0000-0100-000006000000}"/>
  </hyperlinks>
  <pageMargins left="0.70866141732283472" right="0.70866141732283472" top="0.74803149606299213" bottom="0.74803149606299213" header="0.31496062992125984" footer="0.31496062992125984"/>
  <pageSetup paperSize="9" scale="87" fitToHeight="0" orientation="landscape" verticalDpi="0" r:id="rId1"/>
  <headerFooter>
    <oddFooter>&amp;L&amp;F&amp;CPage &amp;P of &amp;N&amp;R&amp;A</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6">
    <tabColor rgb="FFB9C337"/>
    <pageSetUpPr fitToPage="1"/>
  </sheetPr>
  <dimension ref="A1:BI92"/>
  <sheetViews>
    <sheetView workbookViewId="0">
      <pane ySplit="5" topLeftCell="A6" activePane="bottomLeft" state="frozen"/>
      <selection pane="bottomLeft"/>
    </sheetView>
  </sheetViews>
  <sheetFormatPr defaultColWidth="8.7265625" defaultRowHeight="12.5" x14ac:dyDescent="0.25"/>
  <cols>
    <col min="1" max="1" width="2.54296875" style="233" customWidth="1"/>
    <col min="2" max="2" width="1.453125" style="233" customWidth="1"/>
    <col min="3" max="3" width="17.1796875" style="233" customWidth="1"/>
    <col min="4" max="4" width="20" style="233" customWidth="1"/>
    <col min="5" max="5" width="66.7265625" style="233" customWidth="1"/>
    <col min="6" max="6" width="28.81640625" style="233" customWidth="1"/>
    <col min="7" max="7" width="1.453125" style="233" customWidth="1"/>
    <col min="8" max="16384" width="8.7265625" style="233"/>
  </cols>
  <sheetData>
    <row r="1" spans="1:61" s="166" customFormat="1" ht="12" thickBot="1" x14ac:dyDescent="0.4">
      <c r="E1" s="167"/>
      <c r="F1" s="167"/>
      <c r="G1" s="167"/>
      <c r="H1" s="167"/>
      <c r="I1" s="167"/>
      <c r="K1" s="167"/>
      <c r="L1" s="167"/>
      <c r="M1" s="167"/>
      <c r="N1" s="167"/>
      <c r="O1" s="167"/>
      <c r="P1" s="167"/>
      <c r="Q1" s="167"/>
      <c r="R1" s="167"/>
      <c r="S1" s="167"/>
      <c r="T1" s="167"/>
      <c r="U1" s="167"/>
      <c r="V1" s="167"/>
      <c r="W1" s="167"/>
      <c r="X1" s="167"/>
      <c r="Y1" s="167"/>
      <c r="Z1" s="167"/>
      <c r="AA1" s="167"/>
      <c r="AB1" s="167"/>
      <c r="AC1" s="167"/>
      <c r="AD1" s="167"/>
      <c r="AE1" s="167"/>
      <c r="AF1" s="167"/>
      <c r="AG1" s="167"/>
      <c r="AH1" s="167"/>
      <c r="AI1" s="167"/>
      <c r="AJ1" s="167"/>
      <c r="AK1" s="167"/>
      <c r="AL1" s="167"/>
      <c r="AM1" s="167"/>
      <c r="AN1" s="167"/>
      <c r="AO1" s="167"/>
      <c r="AP1" s="167"/>
      <c r="AQ1" s="167"/>
      <c r="AR1" s="167"/>
      <c r="AS1" s="167"/>
      <c r="AT1" s="167"/>
      <c r="AU1" s="167"/>
      <c r="AV1" s="167"/>
      <c r="AW1" s="167"/>
      <c r="AX1" s="167"/>
      <c r="AY1" s="167"/>
      <c r="AZ1" s="167"/>
      <c r="BA1" s="167"/>
      <c r="BB1" s="167"/>
      <c r="BC1" s="167"/>
      <c r="BD1" s="167"/>
      <c r="BE1" s="167"/>
      <c r="BF1" s="167"/>
    </row>
    <row r="2" spans="1:61" s="171" customFormat="1" ht="42" customHeight="1" x14ac:dyDescent="0.25">
      <c r="B2" s="168"/>
      <c r="C2" s="200"/>
      <c r="D2" s="201"/>
      <c r="E2" s="201"/>
      <c r="F2" s="201"/>
      <c r="G2" s="202"/>
      <c r="H2" s="170"/>
      <c r="I2" s="170"/>
      <c r="K2" s="170"/>
      <c r="L2" s="170"/>
      <c r="M2" s="170"/>
      <c r="N2" s="170"/>
      <c r="O2" s="170"/>
      <c r="P2" s="170"/>
      <c r="Q2" s="170"/>
      <c r="R2" s="170"/>
      <c r="S2" s="170"/>
      <c r="T2" s="170"/>
      <c r="U2" s="170"/>
      <c r="V2" s="170"/>
      <c r="W2" s="170"/>
      <c r="X2" s="170"/>
      <c r="Y2" s="170"/>
      <c r="Z2" s="170"/>
      <c r="AA2" s="170"/>
      <c r="AB2" s="170"/>
      <c r="AC2" s="170"/>
      <c r="AD2" s="170"/>
      <c r="AE2" s="170"/>
      <c r="AF2" s="170"/>
      <c r="AG2" s="170"/>
      <c r="AH2" s="170"/>
      <c r="AI2" s="170"/>
      <c r="AJ2" s="170"/>
      <c r="AK2" s="170"/>
      <c r="AL2" s="170"/>
      <c r="AM2" s="170"/>
      <c r="AN2" s="170"/>
      <c r="AO2" s="170"/>
      <c r="AP2" s="170"/>
      <c r="AQ2" s="170"/>
      <c r="AR2" s="170"/>
      <c r="AS2" s="170"/>
      <c r="AT2" s="170"/>
      <c r="AU2" s="170"/>
      <c r="AV2" s="170"/>
      <c r="AW2" s="170"/>
      <c r="AX2" s="170"/>
      <c r="AY2" s="170"/>
      <c r="AZ2" s="170"/>
      <c r="BA2" s="170"/>
      <c r="BB2" s="170"/>
      <c r="BC2" s="170"/>
      <c r="BD2" s="170"/>
      <c r="BE2" s="170"/>
      <c r="BF2" s="170"/>
    </row>
    <row r="3" spans="1:61" s="166" customFormat="1" ht="17.25" customHeight="1" x14ac:dyDescent="0.35">
      <c r="B3" s="178"/>
      <c r="C3" s="203"/>
      <c r="D3" s="204"/>
      <c r="E3" s="204"/>
      <c r="F3" s="157" t="str">
        <f>UPPER(Lists!K3)</f>
        <v>STATISTICAL OFFICE OF THE EUROPEAN UNION</v>
      </c>
      <c r="G3" s="205"/>
      <c r="H3" s="167"/>
      <c r="I3" s="167"/>
      <c r="K3" s="167"/>
      <c r="L3" s="167"/>
      <c r="M3" s="167"/>
      <c r="N3" s="167"/>
      <c r="O3" s="167"/>
      <c r="P3" s="167"/>
      <c r="Q3" s="167"/>
      <c r="R3" s="167"/>
      <c r="S3" s="167"/>
      <c r="T3" s="167"/>
      <c r="U3" s="167"/>
      <c r="V3" s="167"/>
      <c r="W3" s="167"/>
      <c r="X3" s="167"/>
      <c r="Y3" s="167"/>
      <c r="Z3" s="167"/>
      <c r="AA3" s="167"/>
      <c r="AB3" s="167"/>
      <c r="AC3" s="167"/>
      <c r="AD3" s="167"/>
      <c r="AE3" s="167"/>
      <c r="AF3" s="167"/>
      <c r="AG3" s="167"/>
      <c r="AH3" s="167"/>
      <c r="AI3" s="167"/>
      <c r="AJ3" s="167"/>
      <c r="AK3" s="167"/>
      <c r="AL3" s="167"/>
      <c r="AM3" s="167"/>
      <c r="AN3" s="167"/>
      <c r="AO3" s="167"/>
      <c r="AP3" s="167"/>
      <c r="AQ3" s="167"/>
      <c r="AR3" s="167"/>
      <c r="AS3" s="167"/>
      <c r="AT3" s="167"/>
      <c r="AU3" s="167"/>
      <c r="AV3" s="167"/>
      <c r="AW3" s="167"/>
      <c r="AX3" s="167"/>
      <c r="AY3" s="167"/>
      <c r="AZ3" s="167"/>
      <c r="BA3" s="167"/>
      <c r="BB3" s="167"/>
      <c r="BC3" s="167"/>
      <c r="BD3" s="167"/>
      <c r="BE3" s="167"/>
      <c r="BF3" s="167"/>
    </row>
    <row r="4" spans="1:61" s="166" customFormat="1" ht="22.5" customHeight="1" x14ac:dyDescent="0.35">
      <c r="B4" s="178"/>
      <c r="C4" s="505" t="str">
        <f>UPPER(Lists!K7)</f>
        <v>BIENNIAL WASTE STATISTICS REGULATION - WASTE TREATMENT</v>
      </c>
      <c r="D4" s="505"/>
      <c r="E4" s="505"/>
      <c r="F4" s="505"/>
      <c r="G4" s="205"/>
      <c r="H4" s="167"/>
      <c r="I4" s="167"/>
      <c r="J4" s="167"/>
      <c r="K4" s="167"/>
      <c r="L4" s="167"/>
      <c r="M4" s="167"/>
      <c r="N4" s="167"/>
      <c r="O4" s="167"/>
      <c r="P4" s="167"/>
      <c r="Q4" s="167"/>
      <c r="R4" s="167"/>
      <c r="S4" s="167"/>
      <c r="T4" s="167"/>
      <c r="U4" s="167"/>
      <c r="V4" s="167"/>
      <c r="W4" s="167"/>
      <c r="X4" s="167"/>
      <c r="Y4" s="167"/>
      <c r="Z4" s="167"/>
      <c r="AA4" s="167"/>
      <c r="AB4" s="167"/>
      <c r="AC4" s="167"/>
      <c r="AD4" s="167"/>
      <c r="AE4" s="167"/>
      <c r="AF4" s="167"/>
      <c r="AG4" s="167"/>
      <c r="AH4" s="167"/>
      <c r="AI4" s="167"/>
      <c r="AJ4" s="167"/>
      <c r="AK4" s="167"/>
      <c r="AL4" s="167"/>
      <c r="AM4" s="167"/>
      <c r="AN4" s="167"/>
      <c r="AO4" s="167"/>
      <c r="AP4" s="167"/>
      <c r="AQ4" s="167"/>
      <c r="AR4" s="167"/>
      <c r="AS4" s="167"/>
      <c r="AT4" s="167"/>
      <c r="AU4" s="167"/>
      <c r="AV4" s="167"/>
      <c r="AW4" s="167"/>
      <c r="AX4" s="167"/>
      <c r="AY4" s="167"/>
      <c r="AZ4" s="167"/>
      <c r="BA4" s="167"/>
      <c r="BB4" s="167"/>
      <c r="BC4" s="167"/>
      <c r="BD4" s="167"/>
      <c r="BE4" s="167"/>
      <c r="BF4" s="167"/>
      <c r="BG4" s="167"/>
      <c r="BH4" s="167"/>
      <c r="BI4" s="167"/>
    </row>
    <row r="5" spans="1:61" s="166" customFormat="1" ht="21.75" customHeight="1" x14ac:dyDescent="0.35">
      <c r="B5" s="180"/>
      <c r="C5" s="493" t="str">
        <f>CONCATENATE(Lists!K8," DATA COLLECTION")</f>
        <v>2026 DATA COLLECTION</v>
      </c>
      <c r="D5" s="493"/>
      <c r="E5" s="493"/>
      <c r="F5" s="493"/>
      <c r="G5" s="205"/>
      <c r="H5" s="167"/>
      <c r="I5" s="167"/>
      <c r="J5" s="167"/>
      <c r="K5" s="167"/>
      <c r="L5" s="167"/>
      <c r="M5" s="167"/>
      <c r="N5" s="167"/>
      <c r="O5" s="167"/>
      <c r="P5" s="167"/>
      <c r="Q5" s="167"/>
      <c r="R5" s="167"/>
      <c r="S5" s="167"/>
      <c r="T5" s="167"/>
      <c r="U5" s="167"/>
      <c r="V5" s="167"/>
      <c r="W5" s="167"/>
      <c r="X5" s="167"/>
      <c r="Y5" s="167"/>
      <c r="Z5" s="167"/>
      <c r="AA5" s="167"/>
      <c r="AB5" s="167"/>
      <c r="AC5" s="167"/>
      <c r="AD5" s="167"/>
      <c r="AE5" s="167"/>
      <c r="AF5" s="167"/>
      <c r="AG5" s="167"/>
      <c r="AH5" s="167"/>
      <c r="AI5" s="167"/>
      <c r="AJ5" s="167"/>
      <c r="AK5" s="167"/>
      <c r="AL5" s="167"/>
      <c r="AM5" s="167"/>
      <c r="AN5" s="167"/>
      <c r="AO5" s="167"/>
      <c r="AP5" s="167"/>
      <c r="AQ5" s="167"/>
      <c r="AR5" s="167"/>
      <c r="AS5" s="167"/>
      <c r="AT5" s="167"/>
      <c r="AU5" s="167"/>
      <c r="AV5" s="167"/>
      <c r="AW5" s="167"/>
      <c r="AX5" s="167"/>
      <c r="AY5" s="167"/>
      <c r="AZ5" s="167"/>
      <c r="BA5" s="167"/>
      <c r="BB5" s="167"/>
      <c r="BC5" s="167"/>
      <c r="BD5" s="167"/>
      <c r="BE5" s="167"/>
      <c r="BF5" s="167"/>
      <c r="BG5" s="167"/>
      <c r="BH5" s="167"/>
      <c r="BI5" s="167"/>
    </row>
    <row r="6" spans="1:61" s="166" customFormat="1" ht="15" customHeight="1" thickBot="1" x14ac:dyDescent="0.4">
      <c r="B6" s="180"/>
      <c r="C6" s="182"/>
      <c r="D6" s="182"/>
      <c r="E6" s="182"/>
      <c r="F6" s="182"/>
      <c r="G6" s="205"/>
      <c r="H6" s="167"/>
      <c r="I6" s="167"/>
      <c r="J6" s="167"/>
      <c r="K6" s="167"/>
      <c r="L6" s="167"/>
      <c r="M6" s="167"/>
      <c r="N6" s="167"/>
      <c r="O6" s="167"/>
      <c r="P6" s="167"/>
      <c r="Q6" s="167"/>
      <c r="R6" s="167"/>
      <c r="S6" s="167"/>
      <c r="T6" s="167"/>
      <c r="U6" s="167"/>
      <c r="V6" s="167"/>
      <c r="W6" s="167"/>
      <c r="X6" s="167"/>
      <c r="Y6" s="167"/>
      <c r="Z6" s="167"/>
      <c r="AA6" s="167"/>
      <c r="AB6" s="167"/>
      <c r="AC6" s="167"/>
      <c r="AD6" s="167"/>
      <c r="AE6" s="167"/>
      <c r="AF6" s="167"/>
      <c r="AG6" s="167"/>
      <c r="AH6" s="167"/>
      <c r="AI6" s="167"/>
      <c r="AJ6" s="167"/>
      <c r="AK6" s="167"/>
      <c r="AL6" s="167"/>
      <c r="AM6" s="167"/>
      <c r="AN6" s="167"/>
      <c r="AO6" s="167"/>
      <c r="AP6" s="167"/>
      <c r="AQ6" s="167"/>
      <c r="AR6" s="167"/>
      <c r="AS6" s="167"/>
      <c r="AT6" s="167"/>
      <c r="AU6" s="167"/>
      <c r="AV6" s="167"/>
      <c r="AW6" s="167"/>
      <c r="AX6" s="167"/>
      <c r="AY6" s="167"/>
      <c r="AZ6" s="167"/>
      <c r="BA6" s="167"/>
      <c r="BB6" s="167"/>
      <c r="BC6" s="167"/>
      <c r="BD6" s="167"/>
      <c r="BE6" s="167"/>
      <c r="BF6" s="167"/>
      <c r="BG6" s="167"/>
      <c r="BH6" s="167"/>
      <c r="BI6" s="167"/>
    </row>
    <row r="7" spans="1:61" s="177" customFormat="1" ht="39" customHeight="1" thickBot="1" x14ac:dyDescent="0.4">
      <c r="B7" s="183"/>
      <c r="C7" s="506" t="s">
        <v>439</v>
      </c>
      <c r="D7" s="506"/>
      <c r="E7" s="506"/>
      <c r="F7" s="506"/>
      <c r="G7" s="206"/>
      <c r="H7" s="176"/>
      <c r="I7" s="176"/>
      <c r="J7" s="176"/>
      <c r="K7" s="176"/>
      <c r="L7" s="176"/>
      <c r="M7" s="176"/>
      <c r="N7" s="176"/>
      <c r="O7" s="176"/>
      <c r="P7" s="176"/>
      <c r="Q7" s="176"/>
      <c r="R7" s="176"/>
      <c r="S7" s="176"/>
      <c r="T7" s="176"/>
      <c r="U7" s="176"/>
      <c r="V7" s="176"/>
      <c r="W7" s="176"/>
      <c r="X7" s="176"/>
      <c r="Y7" s="176"/>
      <c r="Z7" s="176"/>
      <c r="AA7" s="176"/>
      <c r="AB7" s="176"/>
      <c r="AC7" s="176"/>
      <c r="AD7" s="176"/>
      <c r="AE7" s="176"/>
      <c r="AF7" s="176"/>
      <c r="AG7" s="176"/>
      <c r="AH7" s="176"/>
      <c r="AI7" s="176"/>
      <c r="AJ7" s="176"/>
      <c r="AK7" s="176"/>
      <c r="AL7" s="176"/>
      <c r="AM7" s="176"/>
      <c r="AN7" s="176"/>
      <c r="AO7" s="176"/>
      <c r="AP7" s="176"/>
      <c r="AQ7" s="176"/>
      <c r="AR7" s="176"/>
      <c r="AS7" s="176"/>
      <c r="AT7" s="176"/>
      <c r="AU7" s="176"/>
      <c r="AV7" s="176"/>
      <c r="AW7" s="176"/>
      <c r="AX7" s="176"/>
      <c r="AY7" s="176"/>
      <c r="AZ7" s="176"/>
      <c r="BA7" s="176"/>
      <c r="BB7" s="176"/>
      <c r="BC7" s="176"/>
      <c r="BD7" s="176"/>
      <c r="BE7" s="176"/>
      <c r="BF7" s="176"/>
      <c r="BG7" s="176"/>
      <c r="BH7" s="176"/>
      <c r="BI7" s="176"/>
    </row>
    <row r="8" spans="1:61" s="177" customFormat="1" ht="42.75" customHeight="1" x14ac:dyDescent="0.35">
      <c r="A8" s="207"/>
      <c r="B8" s="208"/>
      <c r="C8" s="504" t="s">
        <v>440</v>
      </c>
      <c r="D8" s="504"/>
      <c r="E8" s="504"/>
      <c r="F8" s="504"/>
      <c r="G8" s="209"/>
    </row>
    <row r="9" spans="1:61" s="177" customFormat="1" ht="31.5" customHeight="1" x14ac:dyDescent="0.35">
      <c r="A9" s="207"/>
      <c r="B9" s="208"/>
      <c r="C9" s="504" t="s">
        <v>441</v>
      </c>
      <c r="D9" s="495"/>
      <c r="E9" s="495"/>
      <c r="F9" s="495"/>
      <c r="G9" s="209"/>
    </row>
    <row r="10" spans="1:61" s="177" customFormat="1" ht="65.25" customHeight="1" x14ac:dyDescent="0.35">
      <c r="A10" s="207"/>
      <c r="B10" s="208"/>
      <c r="C10" s="504" t="s">
        <v>442</v>
      </c>
      <c r="D10" s="504"/>
      <c r="E10" s="504"/>
      <c r="F10" s="504"/>
      <c r="G10" s="209"/>
    </row>
    <row r="11" spans="1:61" s="177" customFormat="1" ht="24.75" customHeight="1" x14ac:dyDescent="0.3">
      <c r="A11" s="207"/>
      <c r="B11" s="208"/>
      <c r="C11" s="502" t="s">
        <v>207</v>
      </c>
      <c r="D11" s="502"/>
      <c r="E11" s="502"/>
      <c r="F11" s="502"/>
      <c r="G11" s="209"/>
    </row>
    <row r="12" spans="1:61" s="177" customFormat="1" ht="18" customHeight="1" x14ac:dyDescent="0.3">
      <c r="A12" s="207"/>
      <c r="B12" s="208"/>
      <c r="C12" s="503" t="s">
        <v>443</v>
      </c>
      <c r="D12" s="503"/>
      <c r="E12" s="503"/>
      <c r="F12" s="503"/>
      <c r="G12" s="209"/>
    </row>
    <row r="13" spans="1:61" s="177" customFormat="1" ht="18" customHeight="1" x14ac:dyDescent="0.3">
      <c r="A13" s="207"/>
      <c r="B13" s="208"/>
      <c r="C13" s="503" t="s">
        <v>444</v>
      </c>
      <c r="D13" s="503"/>
      <c r="E13" s="503"/>
      <c r="F13" s="503"/>
      <c r="G13" s="209"/>
    </row>
    <row r="14" spans="1:61" s="177" customFormat="1" ht="18" customHeight="1" x14ac:dyDescent="0.3">
      <c r="A14" s="207"/>
      <c r="B14" s="208"/>
      <c r="C14" s="503" t="s">
        <v>445</v>
      </c>
      <c r="D14" s="503"/>
      <c r="E14" s="503"/>
      <c r="F14" s="503"/>
      <c r="G14" s="209"/>
    </row>
    <row r="15" spans="1:61" s="177" customFormat="1" ht="18" customHeight="1" x14ac:dyDescent="0.3">
      <c r="A15" s="207" t="s">
        <v>187</v>
      </c>
      <c r="B15" s="208" t="s">
        <v>446</v>
      </c>
      <c r="C15" s="503" t="s">
        <v>447</v>
      </c>
      <c r="D15" s="503"/>
      <c r="E15" s="503"/>
      <c r="F15" s="503"/>
      <c r="G15" s="209"/>
    </row>
    <row r="16" spans="1:61" s="177" customFormat="1" ht="18" customHeight="1" x14ac:dyDescent="0.3">
      <c r="A16" s="207"/>
      <c r="B16" s="208"/>
      <c r="C16" s="503" t="s">
        <v>448</v>
      </c>
      <c r="D16" s="503"/>
      <c r="E16" s="503"/>
      <c r="F16" s="503"/>
      <c r="G16" s="209"/>
    </row>
    <row r="17" spans="1:7" s="177" customFormat="1" ht="18" customHeight="1" x14ac:dyDescent="0.3">
      <c r="A17" s="207"/>
      <c r="B17" s="208"/>
      <c r="C17" s="503" t="s">
        <v>449</v>
      </c>
      <c r="D17" s="503"/>
      <c r="E17" s="503"/>
      <c r="F17" s="503"/>
      <c r="G17" s="209"/>
    </row>
    <row r="18" spans="1:7" s="177" customFormat="1" ht="15" customHeight="1" x14ac:dyDescent="0.35">
      <c r="A18" s="207"/>
      <c r="B18" s="208"/>
      <c r="C18" s="210"/>
      <c r="D18" s="210"/>
      <c r="E18" s="210"/>
      <c r="F18" s="210"/>
      <c r="G18" s="209"/>
    </row>
    <row r="19" spans="1:7" s="177" customFormat="1" ht="17.25" customHeight="1" x14ac:dyDescent="0.35">
      <c r="A19" s="207"/>
      <c r="B19" s="208"/>
      <c r="C19" s="490" t="s">
        <v>450</v>
      </c>
      <c r="D19" s="490"/>
      <c r="E19" s="490"/>
      <c r="F19" s="490"/>
      <c r="G19" s="209"/>
    </row>
    <row r="20" spans="1:7" s="177" customFormat="1" ht="4.5" customHeight="1" x14ac:dyDescent="0.35">
      <c r="A20" s="207"/>
      <c r="B20" s="208"/>
      <c r="C20" s="211"/>
      <c r="D20" s="211"/>
      <c r="E20" s="211"/>
      <c r="F20" s="211"/>
      <c r="G20" s="209"/>
    </row>
    <row r="21" spans="1:7" s="177" customFormat="1" ht="42" customHeight="1" x14ac:dyDescent="0.35">
      <c r="A21" s="207"/>
      <c r="B21" s="208"/>
      <c r="C21" s="495" t="s">
        <v>451</v>
      </c>
      <c r="D21" s="495"/>
      <c r="E21" s="495"/>
      <c r="F21" s="495"/>
      <c r="G21" s="209"/>
    </row>
    <row r="22" spans="1:7" s="177" customFormat="1" ht="8.25" customHeight="1" x14ac:dyDescent="0.35">
      <c r="A22" s="207"/>
      <c r="B22" s="208"/>
      <c r="C22" s="211"/>
      <c r="D22" s="211"/>
      <c r="E22" s="211"/>
      <c r="F22" s="211"/>
      <c r="G22" s="209"/>
    </row>
    <row r="23" spans="1:7" s="177" customFormat="1" ht="17.25" customHeight="1" x14ac:dyDescent="0.35">
      <c r="A23" s="207"/>
      <c r="B23" s="208"/>
      <c r="C23" s="497" t="s">
        <v>452</v>
      </c>
      <c r="D23" s="497"/>
      <c r="E23" s="497"/>
      <c r="F23" s="497"/>
      <c r="G23" s="209"/>
    </row>
    <row r="24" spans="1:7" s="177" customFormat="1" ht="17.25" customHeight="1" x14ac:dyDescent="0.35">
      <c r="A24" s="207"/>
      <c r="B24" s="208"/>
      <c r="C24" s="211" t="s">
        <v>453</v>
      </c>
      <c r="D24" s="212" t="str">
        <f>Lists!K12</f>
        <v>WASTE</v>
      </c>
      <c r="E24" s="211"/>
      <c r="F24" s="211"/>
      <c r="G24" s="209"/>
    </row>
    <row r="25" spans="1:7" s="177" customFormat="1" ht="15" customHeight="1" x14ac:dyDescent="0.35">
      <c r="A25" s="207"/>
      <c r="B25" s="208"/>
      <c r="C25" s="211" t="s">
        <v>454</v>
      </c>
      <c r="D25" s="212" t="str">
        <f>Lists!K13</f>
        <v>WASTE_TRT</v>
      </c>
      <c r="E25" s="211"/>
      <c r="F25" s="211"/>
      <c r="G25" s="209"/>
    </row>
    <row r="26" spans="1:7" s="177" customFormat="1" ht="6.75" customHeight="1" x14ac:dyDescent="0.35">
      <c r="A26" s="207"/>
      <c r="B26" s="208"/>
      <c r="C26" s="211"/>
      <c r="D26" s="212"/>
      <c r="E26" s="211"/>
      <c r="F26" s="211"/>
      <c r="G26" s="209"/>
    </row>
    <row r="27" spans="1:7" s="177" customFormat="1" ht="14" x14ac:dyDescent="0.35">
      <c r="A27" s="207"/>
      <c r="B27" s="208"/>
      <c r="C27" s="495" t="s">
        <v>455</v>
      </c>
      <c r="D27" s="495"/>
      <c r="E27" s="495"/>
      <c r="F27" s="495"/>
      <c r="G27" s="209"/>
    </row>
    <row r="28" spans="1:7" s="177" customFormat="1" ht="17.25" customHeight="1" x14ac:dyDescent="0.35">
      <c r="A28" s="207"/>
      <c r="B28" s="208"/>
      <c r="C28" s="211" t="s">
        <v>456</v>
      </c>
      <c r="D28" s="501" t="str">
        <f>Lists!K14</f>
        <v>https://webgate.ec.europa.eu/edamis/helpcenter/website/index.htm</v>
      </c>
      <c r="E28" s="501"/>
      <c r="F28" s="501"/>
      <c r="G28" s="209"/>
    </row>
    <row r="29" spans="1:7" s="177" customFormat="1" ht="17.25" customHeight="1" x14ac:dyDescent="0.35">
      <c r="A29" s="207"/>
      <c r="B29" s="208"/>
      <c r="C29" s="211" t="s">
        <v>457</v>
      </c>
      <c r="D29" s="212" t="str">
        <f>Lists!K15</f>
        <v>estat-support-edamis@ec.europa.eu</v>
      </c>
      <c r="E29" s="211"/>
      <c r="F29" s="211"/>
      <c r="G29" s="209"/>
    </row>
    <row r="30" spans="1:7" s="177" customFormat="1" ht="17.25" customHeight="1" x14ac:dyDescent="0.35">
      <c r="A30" s="207"/>
      <c r="B30" s="208"/>
      <c r="C30" s="211" t="s">
        <v>458</v>
      </c>
      <c r="D30" s="212" t="str">
        <f>Lists!K17</f>
        <v>(+352) 4301 33213</v>
      </c>
      <c r="E30" s="211"/>
      <c r="F30" s="211"/>
      <c r="G30" s="209"/>
    </row>
    <row r="31" spans="1:7" s="177" customFormat="1" ht="20.25" customHeight="1" x14ac:dyDescent="0.3">
      <c r="A31" s="207"/>
      <c r="B31" s="208"/>
      <c r="C31" s="213" t="s">
        <v>459</v>
      </c>
      <c r="D31" s="212"/>
      <c r="E31" s="211"/>
      <c r="F31" s="211"/>
      <c r="G31" s="209"/>
    </row>
    <row r="32" spans="1:7" s="177" customFormat="1" ht="17.25" customHeight="1" x14ac:dyDescent="0.35">
      <c r="A32" s="207"/>
      <c r="B32" s="208"/>
      <c r="C32" s="211" t="s">
        <v>457</v>
      </c>
      <c r="D32" s="212" t="str">
        <f>Lists!K18</f>
        <v>ESTAT-WASTE-STATISTICS@EC.EUROPA.EU</v>
      </c>
      <c r="E32" s="211"/>
      <c r="F32" s="211"/>
      <c r="G32" s="209"/>
    </row>
    <row r="33" spans="1:7" s="177" customFormat="1" ht="7.5" customHeight="1" x14ac:dyDescent="0.35">
      <c r="A33" s="207"/>
      <c r="B33" s="208"/>
      <c r="C33" s="211"/>
      <c r="D33" s="211"/>
      <c r="E33" s="211"/>
      <c r="F33" s="211"/>
      <c r="G33" s="209"/>
    </row>
    <row r="34" spans="1:7" s="177" customFormat="1" ht="17.25" customHeight="1" x14ac:dyDescent="0.35">
      <c r="A34" s="207"/>
      <c r="B34" s="208"/>
      <c r="C34" s="490" t="s">
        <v>460</v>
      </c>
      <c r="D34" s="490"/>
      <c r="E34" s="490"/>
      <c r="F34" s="490"/>
      <c r="G34" s="209"/>
    </row>
    <row r="35" spans="1:7" s="177" customFormat="1" ht="4.5" customHeight="1" x14ac:dyDescent="0.35">
      <c r="A35" s="207"/>
      <c r="B35" s="208"/>
      <c r="C35" s="211"/>
      <c r="D35" s="211"/>
      <c r="E35" s="211"/>
      <c r="F35" s="211"/>
      <c r="G35" s="209"/>
    </row>
    <row r="36" spans="1:7" s="177" customFormat="1" ht="25.5" customHeight="1" x14ac:dyDescent="0.35">
      <c r="A36" s="207"/>
      <c r="B36" s="208"/>
      <c r="C36" s="497" t="s">
        <v>461</v>
      </c>
      <c r="D36" s="497"/>
      <c r="E36" s="497"/>
      <c r="F36" s="497"/>
      <c r="G36" s="209"/>
    </row>
    <row r="37" spans="1:7" s="177" customFormat="1" ht="17.25" customHeight="1" thickBot="1" x14ac:dyDescent="0.4">
      <c r="A37" s="207"/>
      <c r="B37" s="208"/>
      <c r="C37" s="214" t="s">
        <v>3</v>
      </c>
      <c r="D37" s="214" t="s">
        <v>194</v>
      </c>
      <c r="E37" s="211"/>
      <c r="F37" s="211"/>
      <c r="G37" s="209"/>
    </row>
    <row r="38" spans="1:7" s="177" customFormat="1" ht="17.25" customHeight="1" x14ac:dyDescent="0.35">
      <c r="A38" s="207"/>
      <c r="B38" s="208"/>
      <c r="C38" s="215" t="s">
        <v>195</v>
      </c>
      <c r="D38" s="215">
        <v>0</v>
      </c>
      <c r="E38" s="211"/>
      <c r="F38" s="211"/>
      <c r="G38" s="209"/>
    </row>
    <row r="39" spans="1:7" s="177" customFormat="1" ht="17.25" customHeight="1" x14ac:dyDescent="0.35">
      <c r="A39" s="207"/>
      <c r="B39" s="208"/>
      <c r="C39" s="216" t="s">
        <v>196</v>
      </c>
      <c r="D39" s="217"/>
      <c r="E39" s="218" t="s">
        <v>462</v>
      </c>
      <c r="F39" s="211"/>
      <c r="G39" s="209"/>
    </row>
    <row r="40" spans="1:7" s="177" customFormat="1" ht="10.5" customHeight="1" x14ac:dyDescent="0.35">
      <c r="A40" s="207"/>
      <c r="B40" s="208"/>
      <c r="C40" s="211"/>
      <c r="D40" s="211"/>
      <c r="E40" s="211"/>
      <c r="F40" s="211"/>
      <c r="G40" s="209"/>
    </row>
    <row r="41" spans="1:7" s="177" customFormat="1" ht="17.25" customHeight="1" x14ac:dyDescent="0.35">
      <c r="A41" s="207"/>
      <c r="B41" s="208"/>
      <c r="C41" s="495" t="s">
        <v>197</v>
      </c>
      <c r="D41" s="495"/>
      <c r="E41" s="495"/>
      <c r="F41" s="495"/>
      <c r="G41" s="209"/>
    </row>
    <row r="42" spans="1:7" s="177" customFormat="1" ht="17.25" customHeight="1" x14ac:dyDescent="0.35">
      <c r="A42" s="207"/>
      <c r="B42" s="208"/>
      <c r="C42" s="495" t="s">
        <v>198</v>
      </c>
      <c r="D42" s="495"/>
      <c r="E42" s="495"/>
      <c r="F42" s="495"/>
      <c r="G42" s="209"/>
    </row>
    <row r="43" spans="1:7" s="177" customFormat="1" ht="46.5" customHeight="1" x14ac:dyDescent="0.35">
      <c r="A43" s="207"/>
      <c r="B43" s="208"/>
      <c r="C43" s="495" t="s">
        <v>463</v>
      </c>
      <c r="D43" s="495"/>
      <c r="E43" s="495"/>
      <c r="F43" s="495"/>
      <c r="G43" s="209"/>
    </row>
    <row r="44" spans="1:7" s="177" customFormat="1" ht="5.25" customHeight="1" x14ac:dyDescent="0.35">
      <c r="A44" s="207"/>
      <c r="B44" s="208"/>
      <c r="C44" s="211"/>
      <c r="D44" s="211"/>
      <c r="E44" s="211"/>
      <c r="F44" s="211"/>
      <c r="G44" s="209"/>
    </row>
    <row r="45" spans="1:7" s="177" customFormat="1" ht="17.25" customHeight="1" x14ac:dyDescent="0.35">
      <c r="A45" s="207"/>
      <c r="B45" s="208"/>
      <c r="C45" s="490" t="s">
        <v>464</v>
      </c>
      <c r="D45" s="490"/>
      <c r="E45" s="490"/>
      <c r="F45" s="490"/>
      <c r="G45" s="209"/>
    </row>
    <row r="46" spans="1:7" s="177" customFormat="1" ht="7.5" customHeight="1" x14ac:dyDescent="0.35">
      <c r="A46" s="207"/>
      <c r="B46" s="208"/>
      <c r="C46" s="211"/>
      <c r="D46" s="211"/>
      <c r="E46" s="211"/>
      <c r="F46" s="211"/>
      <c r="G46" s="209"/>
    </row>
    <row r="47" spans="1:7" s="177" customFormat="1" ht="30" customHeight="1" x14ac:dyDescent="0.35">
      <c r="A47" s="207"/>
      <c r="B47" s="208"/>
      <c r="C47" s="495" t="s">
        <v>465</v>
      </c>
      <c r="D47" s="495"/>
      <c r="E47" s="495"/>
      <c r="F47" s="495"/>
      <c r="G47" s="209"/>
    </row>
    <row r="48" spans="1:7" s="177" customFormat="1" ht="29.25" customHeight="1" x14ac:dyDescent="0.35">
      <c r="A48" s="207"/>
      <c r="B48" s="208"/>
      <c r="C48" s="500" t="s">
        <v>428</v>
      </c>
      <c r="D48" s="500"/>
      <c r="E48" s="500"/>
      <c r="F48" s="500"/>
      <c r="G48" s="209"/>
    </row>
    <row r="49" spans="1:7" s="177" customFormat="1" ht="5.25" customHeight="1" x14ac:dyDescent="0.35">
      <c r="A49" s="207"/>
      <c r="B49" s="208"/>
      <c r="C49" s="211"/>
      <c r="D49" s="211"/>
      <c r="E49" s="211"/>
      <c r="F49" s="211"/>
      <c r="G49" s="209"/>
    </row>
    <row r="50" spans="1:7" s="177" customFormat="1" ht="17.25" customHeight="1" x14ac:dyDescent="0.35">
      <c r="A50" s="207"/>
      <c r="B50" s="208"/>
      <c r="C50" s="490" t="s">
        <v>466</v>
      </c>
      <c r="D50" s="490"/>
      <c r="E50" s="490"/>
      <c r="F50" s="490"/>
      <c r="G50" s="209"/>
    </row>
    <row r="51" spans="1:7" s="177" customFormat="1" ht="4.5" customHeight="1" x14ac:dyDescent="0.35">
      <c r="A51" s="207"/>
      <c r="B51" s="208"/>
      <c r="C51" s="211"/>
      <c r="D51" s="211"/>
      <c r="E51" s="211"/>
      <c r="F51" s="211"/>
      <c r="G51" s="209"/>
    </row>
    <row r="52" spans="1:7" s="222" customFormat="1" ht="36.75" customHeight="1" x14ac:dyDescent="0.35">
      <c r="A52" s="219"/>
      <c r="B52" s="220"/>
      <c r="C52" s="495" t="s">
        <v>467</v>
      </c>
      <c r="D52" s="495"/>
      <c r="E52" s="495"/>
      <c r="F52" s="495"/>
      <c r="G52" s="221"/>
    </row>
    <row r="53" spans="1:7" s="222" customFormat="1" ht="7.5" customHeight="1" x14ac:dyDescent="0.35">
      <c r="A53" s="219"/>
      <c r="B53" s="220"/>
      <c r="C53" s="223"/>
      <c r="D53" s="223"/>
      <c r="E53" s="223"/>
      <c r="F53" s="223"/>
      <c r="G53" s="221"/>
    </row>
    <row r="54" spans="1:7" s="222" customFormat="1" ht="14" x14ac:dyDescent="0.35">
      <c r="A54" s="219"/>
      <c r="B54" s="220"/>
      <c r="C54" s="495" t="s">
        <v>468</v>
      </c>
      <c r="D54" s="495"/>
      <c r="E54" s="495"/>
      <c r="F54" s="495"/>
      <c r="G54" s="221"/>
    </row>
    <row r="55" spans="1:7" s="222" customFormat="1" ht="17.25" customHeight="1" x14ac:dyDescent="0.35">
      <c r="A55" s="219"/>
      <c r="B55" s="220"/>
      <c r="C55" s="498" t="s">
        <v>469</v>
      </c>
      <c r="D55" s="498"/>
      <c r="E55" s="498"/>
      <c r="F55" s="498"/>
      <c r="G55" s="221"/>
    </row>
    <row r="56" spans="1:7" s="222" customFormat="1" ht="14" x14ac:dyDescent="0.35">
      <c r="A56" s="219"/>
      <c r="B56" s="220"/>
      <c r="C56" s="498" t="s">
        <v>470</v>
      </c>
      <c r="D56" s="498"/>
      <c r="E56" s="498"/>
      <c r="F56" s="498"/>
      <c r="G56" s="221"/>
    </row>
    <row r="57" spans="1:7" s="222" customFormat="1" ht="11.25" customHeight="1" x14ac:dyDescent="0.35">
      <c r="A57" s="219"/>
      <c r="B57" s="220"/>
      <c r="C57" s="223"/>
      <c r="D57" s="223"/>
      <c r="E57" s="223"/>
      <c r="F57" s="223"/>
      <c r="G57" s="221"/>
    </row>
    <row r="58" spans="1:7" s="222" customFormat="1" ht="14" x14ac:dyDescent="0.35">
      <c r="A58" s="219"/>
      <c r="B58" s="220"/>
      <c r="C58" s="224" t="s">
        <v>471</v>
      </c>
      <c r="D58" s="225"/>
      <c r="E58" s="225"/>
      <c r="F58" s="223"/>
      <c r="G58" s="221"/>
    </row>
    <row r="59" spans="1:7" s="177" customFormat="1" ht="27" customHeight="1" x14ac:dyDescent="0.35">
      <c r="A59" s="207"/>
      <c r="B59" s="208"/>
      <c r="C59" s="497" t="s">
        <v>199</v>
      </c>
      <c r="D59" s="497"/>
      <c r="E59" s="497"/>
      <c r="F59" s="497"/>
      <c r="G59" s="209"/>
    </row>
    <row r="60" spans="1:7" s="177" customFormat="1" ht="45.75" customHeight="1" x14ac:dyDescent="0.35">
      <c r="A60" s="207"/>
      <c r="B60" s="208"/>
      <c r="C60" s="226" t="s">
        <v>472</v>
      </c>
      <c r="D60" s="495" t="s">
        <v>473</v>
      </c>
      <c r="E60" s="495"/>
      <c r="F60" s="495"/>
      <c r="G60" s="209"/>
    </row>
    <row r="61" spans="1:7" s="177" customFormat="1" ht="17.25" customHeight="1" x14ac:dyDescent="0.35">
      <c r="A61" s="207"/>
      <c r="B61" s="208"/>
      <c r="C61" s="210" t="s">
        <v>474</v>
      </c>
      <c r="D61" s="210"/>
      <c r="E61" s="210"/>
      <c r="F61" s="210"/>
      <c r="G61" s="209"/>
    </row>
    <row r="62" spans="1:7" s="177" customFormat="1" ht="17.25" customHeight="1" x14ac:dyDescent="0.35">
      <c r="A62" s="207"/>
      <c r="B62" s="208"/>
      <c r="C62" s="210" t="s">
        <v>475</v>
      </c>
      <c r="D62" s="210"/>
      <c r="E62" s="210"/>
      <c r="F62" s="210"/>
      <c r="G62" s="209"/>
    </row>
    <row r="63" spans="1:7" s="177" customFormat="1" ht="35.25" customHeight="1" x14ac:dyDescent="0.35">
      <c r="A63" s="207"/>
      <c r="B63" s="208"/>
      <c r="C63" s="495" t="s">
        <v>476</v>
      </c>
      <c r="D63" s="495"/>
      <c r="E63" s="495"/>
      <c r="F63" s="495"/>
      <c r="G63" s="209"/>
    </row>
    <row r="64" spans="1:7" s="177" customFormat="1" ht="12.75" customHeight="1" x14ac:dyDescent="0.35">
      <c r="A64" s="207"/>
      <c r="B64" s="208"/>
      <c r="C64" s="210"/>
      <c r="D64" s="210"/>
      <c r="E64" s="210"/>
      <c r="F64" s="210"/>
      <c r="G64" s="209"/>
    </row>
    <row r="65" spans="1:7" s="177" customFormat="1" ht="17.25" customHeight="1" x14ac:dyDescent="0.35">
      <c r="A65" s="207"/>
      <c r="B65" s="208"/>
      <c r="C65" s="224" t="s">
        <v>477</v>
      </c>
      <c r="D65" s="227"/>
      <c r="E65" s="227"/>
      <c r="F65" s="210"/>
      <c r="G65" s="209"/>
    </row>
    <row r="66" spans="1:7" s="177" customFormat="1" ht="26.25" customHeight="1" x14ac:dyDescent="0.35">
      <c r="A66" s="207"/>
      <c r="B66" s="208"/>
      <c r="C66" s="495" t="s">
        <v>478</v>
      </c>
      <c r="D66" s="497"/>
      <c r="E66" s="497"/>
      <c r="F66" s="497"/>
      <c r="G66" s="209"/>
    </row>
    <row r="67" spans="1:7" s="177" customFormat="1" ht="76.5" customHeight="1" x14ac:dyDescent="0.35">
      <c r="A67" s="207"/>
      <c r="B67" s="208"/>
      <c r="C67" s="495" t="s">
        <v>479</v>
      </c>
      <c r="D67" s="495"/>
      <c r="E67" s="495"/>
      <c r="F67" s="495"/>
      <c r="G67" s="209"/>
    </row>
    <row r="68" spans="1:7" s="177" customFormat="1" ht="36" customHeight="1" x14ac:dyDescent="0.35">
      <c r="A68" s="207"/>
      <c r="B68" s="208"/>
      <c r="C68" s="495" t="s">
        <v>480</v>
      </c>
      <c r="D68" s="495"/>
      <c r="E68" s="495"/>
      <c r="F68" s="495"/>
      <c r="G68" s="209"/>
    </row>
    <row r="69" spans="1:7" s="177" customFormat="1" ht="5.25" customHeight="1" x14ac:dyDescent="0.35">
      <c r="A69" s="207"/>
      <c r="B69" s="208"/>
      <c r="C69" s="211"/>
      <c r="D69" s="211"/>
      <c r="E69" s="211"/>
      <c r="F69" s="211"/>
      <c r="G69" s="209"/>
    </row>
    <row r="70" spans="1:7" s="177" customFormat="1" ht="17.25" customHeight="1" x14ac:dyDescent="0.35">
      <c r="A70" s="207"/>
      <c r="B70" s="208"/>
      <c r="C70" s="490" t="s">
        <v>481</v>
      </c>
      <c r="D70" s="490"/>
      <c r="E70" s="490"/>
      <c r="F70" s="490"/>
      <c r="G70" s="209"/>
    </row>
    <row r="71" spans="1:7" s="177" customFormat="1" ht="4.5" customHeight="1" x14ac:dyDescent="0.35">
      <c r="A71" s="207"/>
      <c r="B71" s="208"/>
      <c r="C71" s="211"/>
      <c r="D71" s="211"/>
      <c r="E71" s="211"/>
      <c r="F71" s="211"/>
      <c r="G71" s="209"/>
    </row>
    <row r="72" spans="1:7" s="177" customFormat="1" ht="17.25" customHeight="1" x14ac:dyDescent="0.35">
      <c r="A72" s="207"/>
      <c r="B72" s="208"/>
      <c r="C72" s="497" t="s">
        <v>482</v>
      </c>
      <c r="D72" s="497"/>
      <c r="E72" s="497"/>
      <c r="F72" s="497"/>
      <c r="G72" s="209"/>
    </row>
    <row r="73" spans="1:7" s="177" customFormat="1" ht="17.25" customHeight="1" x14ac:dyDescent="0.35">
      <c r="A73" s="207"/>
      <c r="B73" s="208"/>
      <c r="C73" s="499" t="str">
        <f>Lists!K19</f>
        <v>https://ec.europa.eu/eurostat/web/waste/methodology</v>
      </c>
      <c r="D73" s="499"/>
      <c r="E73" s="499"/>
      <c r="F73" s="499"/>
      <c r="G73" s="209"/>
    </row>
    <row r="74" spans="1:7" s="177" customFormat="1" ht="5.25" customHeight="1" x14ac:dyDescent="0.35">
      <c r="A74" s="207"/>
      <c r="B74" s="208"/>
      <c r="C74" s="211"/>
      <c r="D74" s="212"/>
      <c r="E74" s="211"/>
      <c r="F74" s="211"/>
      <c r="G74" s="209"/>
    </row>
    <row r="75" spans="1:7" s="177" customFormat="1" ht="54" customHeight="1" x14ac:dyDescent="0.35">
      <c r="A75" s="207"/>
      <c r="B75" s="208"/>
      <c r="C75" s="495" t="s">
        <v>201</v>
      </c>
      <c r="D75" s="495"/>
      <c r="E75" s="495"/>
      <c r="F75" s="495"/>
      <c r="G75" s="209"/>
    </row>
    <row r="76" spans="1:7" s="177" customFormat="1" ht="52.5" customHeight="1" x14ac:dyDescent="0.35">
      <c r="A76" s="207"/>
      <c r="B76" s="208"/>
      <c r="C76" s="495" t="s">
        <v>202</v>
      </c>
      <c r="D76" s="495"/>
      <c r="E76" s="495"/>
      <c r="F76" s="495"/>
      <c r="G76" s="209"/>
    </row>
    <row r="77" spans="1:7" s="177" customFormat="1" ht="22.5" customHeight="1" x14ac:dyDescent="0.35">
      <c r="A77" s="207"/>
      <c r="B77" s="208"/>
      <c r="C77" s="495" t="s">
        <v>203</v>
      </c>
      <c r="D77" s="495"/>
      <c r="E77" s="495"/>
      <c r="F77" s="495"/>
      <c r="G77" s="209"/>
    </row>
    <row r="78" spans="1:7" s="177" customFormat="1" ht="20.25" customHeight="1" x14ac:dyDescent="0.35">
      <c r="A78" s="207"/>
      <c r="B78" s="208"/>
      <c r="C78" s="496" t="str">
        <f>Lists!K18</f>
        <v>ESTAT-WASTE-STATISTICS@EC.EUROPA.EU</v>
      </c>
      <c r="D78" s="496"/>
      <c r="E78" s="496"/>
      <c r="F78" s="496"/>
      <c r="G78" s="209"/>
    </row>
    <row r="79" spans="1:7" s="177" customFormat="1" ht="5.25" customHeight="1" x14ac:dyDescent="0.35">
      <c r="A79" s="207"/>
      <c r="B79" s="208"/>
      <c r="C79" s="211"/>
      <c r="D79" s="211"/>
      <c r="E79" s="211"/>
      <c r="F79" s="211"/>
      <c r="G79" s="209"/>
    </row>
    <row r="80" spans="1:7" s="177" customFormat="1" ht="17.25" customHeight="1" x14ac:dyDescent="0.35">
      <c r="A80" s="207"/>
      <c r="B80" s="208"/>
      <c r="C80" s="490" t="s">
        <v>205</v>
      </c>
      <c r="D80" s="490"/>
      <c r="E80" s="490"/>
      <c r="F80" s="490"/>
      <c r="G80" s="209"/>
    </row>
    <row r="81" spans="1:7" s="177" customFormat="1" ht="4.5" customHeight="1" x14ac:dyDescent="0.35">
      <c r="A81" s="207"/>
      <c r="B81" s="208"/>
      <c r="C81" s="211"/>
      <c r="D81" s="211"/>
      <c r="E81" s="211"/>
      <c r="F81" s="211"/>
      <c r="G81" s="209"/>
    </row>
    <row r="82" spans="1:7" s="177" customFormat="1" ht="17.25" customHeight="1" x14ac:dyDescent="0.35">
      <c r="A82" s="207"/>
      <c r="B82" s="208"/>
      <c r="C82" s="497" t="s">
        <v>206</v>
      </c>
      <c r="D82" s="497"/>
      <c r="E82" s="497"/>
      <c r="F82" s="497"/>
      <c r="G82" s="209"/>
    </row>
    <row r="83" spans="1:7" s="177" customFormat="1" ht="28.5" customHeight="1" x14ac:dyDescent="0.35">
      <c r="A83" s="207"/>
      <c r="B83" s="208"/>
      <c r="C83" s="495" t="s">
        <v>483</v>
      </c>
      <c r="D83" s="495"/>
      <c r="E83" s="495"/>
      <c r="F83" s="495"/>
      <c r="G83" s="209"/>
    </row>
    <row r="84" spans="1:7" s="177" customFormat="1" ht="50.25" customHeight="1" x14ac:dyDescent="0.35">
      <c r="A84" s="207"/>
      <c r="B84" s="208"/>
      <c r="C84" s="495" t="s">
        <v>484</v>
      </c>
      <c r="D84" s="495"/>
      <c r="E84" s="495"/>
      <c r="F84" s="495"/>
      <c r="G84" s="209"/>
    </row>
    <row r="85" spans="1:7" s="177" customFormat="1" ht="18.75" customHeight="1" x14ac:dyDescent="0.35">
      <c r="A85" s="207"/>
      <c r="B85" s="208"/>
      <c r="C85" s="495" t="s">
        <v>485</v>
      </c>
      <c r="D85" s="495"/>
      <c r="E85" s="495"/>
      <c r="F85" s="495"/>
      <c r="G85" s="209"/>
    </row>
    <row r="86" spans="1:7" s="177" customFormat="1" ht="18.75" customHeight="1" x14ac:dyDescent="0.35">
      <c r="A86" s="207"/>
      <c r="B86" s="208"/>
      <c r="C86" s="495" t="s">
        <v>486</v>
      </c>
      <c r="D86" s="495"/>
      <c r="E86" s="495"/>
      <c r="F86" s="495"/>
      <c r="G86" s="209"/>
    </row>
    <row r="87" spans="1:7" s="177" customFormat="1" ht="18.75" customHeight="1" x14ac:dyDescent="0.35">
      <c r="A87" s="207"/>
      <c r="B87" s="208"/>
      <c r="C87" s="495" t="s">
        <v>487</v>
      </c>
      <c r="D87" s="495"/>
      <c r="E87" s="495"/>
      <c r="F87" s="495"/>
      <c r="G87" s="209"/>
    </row>
    <row r="88" spans="1:7" s="177" customFormat="1" ht="18.75" customHeight="1" x14ac:dyDescent="0.35">
      <c r="A88" s="207"/>
      <c r="B88" s="208"/>
      <c r="C88" s="495" t="s">
        <v>488</v>
      </c>
      <c r="D88" s="495"/>
      <c r="E88" s="495"/>
      <c r="F88" s="495"/>
      <c r="G88" s="209"/>
    </row>
    <row r="89" spans="1:7" s="228" customFormat="1" ht="7.5" customHeight="1" thickBot="1" x14ac:dyDescent="0.4">
      <c r="B89" s="229"/>
      <c r="C89" s="230"/>
      <c r="D89" s="230"/>
      <c r="E89" s="230"/>
      <c r="F89" s="231"/>
      <c r="G89" s="232"/>
    </row>
    <row r="92" spans="1:7" ht="12" customHeight="1" x14ac:dyDescent="0.25"/>
  </sheetData>
  <sheetProtection algorithmName="SHA-512" hashValue="d8R1XW/apVwZNsjBDlCb2XPscc2eRmB5epM72+A2wcd+2Dn8iqsKZBpkGiVT/6ckQs2L8YXDmWsXkTVKWH3Pvg==" saltValue="j8RZoxkswOKFn6tDA6BysA==" spinCount="100000" sheet="1" objects="1" scenarios="1"/>
  <mergeCells count="52">
    <mergeCell ref="C10:F10"/>
    <mergeCell ref="C4:F4"/>
    <mergeCell ref="C5:F5"/>
    <mergeCell ref="C7:F7"/>
    <mergeCell ref="C8:F8"/>
    <mergeCell ref="C9:F9"/>
    <mergeCell ref="D28:F28"/>
    <mergeCell ref="C11:F11"/>
    <mergeCell ref="C12:F12"/>
    <mergeCell ref="C13:F13"/>
    <mergeCell ref="C14:F14"/>
    <mergeCell ref="C15:F15"/>
    <mergeCell ref="C16:F16"/>
    <mergeCell ref="C17:F17"/>
    <mergeCell ref="C19:F19"/>
    <mergeCell ref="C21:F21"/>
    <mergeCell ref="C23:F23"/>
    <mergeCell ref="C27:F27"/>
    <mergeCell ref="C55:F55"/>
    <mergeCell ref="C34:F34"/>
    <mergeCell ref="C36:F36"/>
    <mergeCell ref="C41:F41"/>
    <mergeCell ref="C42:F42"/>
    <mergeCell ref="C43:F43"/>
    <mergeCell ref="C45:F45"/>
    <mergeCell ref="C47:F47"/>
    <mergeCell ref="C48:F48"/>
    <mergeCell ref="C50:F50"/>
    <mergeCell ref="C52:F52"/>
    <mergeCell ref="C54:F54"/>
    <mergeCell ref="C76:F76"/>
    <mergeCell ref="C56:F56"/>
    <mergeCell ref="C59:F59"/>
    <mergeCell ref="D60:F60"/>
    <mergeCell ref="C63:F63"/>
    <mergeCell ref="C66:F66"/>
    <mergeCell ref="C67:F67"/>
    <mergeCell ref="C68:F68"/>
    <mergeCell ref="C70:F70"/>
    <mergeCell ref="C72:F72"/>
    <mergeCell ref="C73:F73"/>
    <mergeCell ref="C75:F75"/>
    <mergeCell ref="C85:F85"/>
    <mergeCell ref="C86:F86"/>
    <mergeCell ref="C87:F87"/>
    <mergeCell ref="C88:F88"/>
    <mergeCell ref="C77:F77"/>
    <mergeCell ref="C78:F78"/>
    <mergeCell ref="C80:F80"/>
    <mergeCell ref="C82:F82"/>
    <mergeCell ref="C83:F83"/>
    <mergeCell ref="C84:F84"/>
  </mergeCells>
  <hyperlinks>
    <hyperlink ref="D28" r:id="rId1" display="https://webgate.ec.europa.eu/edamis/helpcenter/website/index.htm" xr:uid="{00000000-0004-0000-0200-000000000000}"/>
    <hyperlink ref="C73:F73" r:id="rId2" display="https://ec.europa.eu/eurostat/web/waste/methodology" xr:uid="{00000000-0004-0000-0200-000001000000}"/>
    <hyperlink ref="C48:F48" r:id="rId3" display="https://webgate.ec.europa.eu/estat/spe/metaconv/home.htm" xr:uid="{00000000-0004-0000-0200-000002000000}"/>
  </hyperlinks>
  <pageMargins left="0.70866141732283472" right="0.70866141732283472" top="0.74803149606299213" bottom="0.74803149606299213" header="0.31496062992125984" footer="0.31496062992125984"/>
  <pageSetup paperSize="9" scale="94" fitToHeight="0" orientation="landscape" verticalDpi="0" r:id="rId4"/>
  <headerFooter>
    <oddFooter>&amp;L&amp;F&amp;CPage &amp;P of &amp;N&amp;R&amp;A</oddFooter>
  </headerFooter>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7">
    <tabColor rgb="FFB9C337"/>
    <pageSetUpPr fitToPage="1"/>
  </sheetPr>
  <dimension ref="A1:BI38"/>
  <sheetViews>
    <sheetView workbookViewId="0"/>
  </sheetViews>
  <sheetFormatPr defaultColWidth="8.7265625" defaultRowHeight="12.5" x14ac:dyDescent="0.25"/>
  <cols>
    <col min="1" max="1" width="2.54296875" style="233" customWidth="1"/>
    <col min="2" max="2" width="1.453125" style="233" customWidth="1"/>
    <col min="3" max="3" width="17.1796875" style="233" customWidth="1"/>
    <col min="4" max="4" width="20" style="233" customWidth="1"/>
    <col min="5" max="5" width="66.7265625" style="233" customWidth="1"/>
    <col min="6" max="6" width="28.81640625" style="233" customWidth="1"/>
    <col min="7" max="7" width="1.26953125" style="233" customWidth="1"/>
    <col min="8" max="16384" width="8.7265625" style="233"/>
  </cols>
  <sheetData>
    <row r="1" spans="1:61" s="166" customFormat="1" ht="12" thickBot="1" x14ac:dyDescent="0.4">
      <c r="E1" s="167"/>
      <c r="F1" s="167"/>
      <c r="G1" s="167"/>
      <c r="H1" s="167"/>
      <c r="I1" s="167"/>
      <c r="K1" s="167"/>
      <c r="L1" s="167"/>
      <c r="M1" s="167"/>
      <c r="N1" s="167"/>
      <c r="O1" s="167"/>
      <c r="P1" s="167"/>
      <c r="Q1" s="167"/>
      <c r="R1" s="167"/>
      <c r="S1" s="167"/>
      <c r="T1" s="167"/>
      <c r="U1" s="167"/>
      <c r="V1" s="167"/>
      <c r="W1" s="167"/>
      <c r="X1" s="167"/>
      <c r="Y1" s="167"/>
      <c r="Z1" s="167"/>
      <c r="AA1" s="167"/>
      <c r="AB1" s="167"/>
      <c r="AC1" s="167"/>
      <c r="AD1" s="167"/>
      <c r="AE1" s="167"/>
      <c r="AF1" s="167"/>
      <c r="AG1" s="167"/>
      <c r="AH1" s="167"/>
      <c r="AI1" s="167"/>
      <c r="AJ1" s="167"/>
      <c r="AK1" s="167"/>
      <c r="AL1" s="167"/>
      <c r="AM1" s="167"/>
      <c r="AN1" s="167"/>
      <c r="AO1" s="167"/>
      <c r="AP1" s="167"/>
      <c r="AQ1" s="167"/>
      <c r="AR1" s="167"/>
      <c r="AS1" s="167"/>
      <c r="AT1" s="167"/>
      <c r="AU1" s="167"/>
      <c r="AV1" s="167"/>
      <c r="AW1" s="167"/>
      <c r="AX1" s="167"/>
      <c r="AY1" s="167"/>
      <c r="AZ1" s="167"/>
      <c r="BA1" s="167"/>
      <c r="BB1" s="167"/>
      <c r="BC1" s="167"/>
      <c r="BD1" s="167"/>
      <c r="BE1" s="167"/>
      <c r="BF1" s="167"/>
    </row>
    <row r="2" spans="1:61" s="171" customFormat="1" ht="42" customHeight="1" x14ac:dyDescent="0.25">
      <c r="B2" s="168"/>
      <c r="C2" s="200"/>
      <c r="D2" s="201"/>
      <c r="E2" s="201"/>
      <c r="F2" s="201"/>
      <c r="G2" s="202"/>
      <c r="H2" s="170"/>
      <c r="I2" s="170"/>
      <c r="K2" s="170"/>
      <c r="L2" s="170"/>
      <c r="M2" s="170"/>
      <c r="N2" s="170"/>
      <c r="O2" s="170"/>
      <c r="P2" s="170"/>
      <c r="Q2" s="170"/>
      <c r="R2" s="170"/>
      <c r="S2" s="170"/>
      <c r="T2" s="170"/>
      <c r="U2" s="170"/>
      <c r="V2" s="170"/>
      <c r="W2" s="170"/>
      <c r="X2" s="170"/>
      <c r="Y2" s="170"/>
      <c r="Z2" s="170"/>
      <c r="AA2" s="170"/>
      <c r="AB2" s="170"/>
      <c r="AC2" s="170"/>
      <c r="AD2" s="170"/>
      <c r="AE2" s="170"/>
      <c r="AF2" s="170"/>
      <c r="AG2" s="170"/>
      <c r="AH2" s="170"/>
      <c r="AI2" s="170"/>
      <c r="AJ2" s="170"/>
      <c r="AK2" s="170"/>
      <c r="AL2" s="170"/>
      <c r="AM2" s="170"/>
      <c r="AN2" s="170"/>
      <c r="AO2" s="170"/>
      <c r="AP2" s="170"/>
      <c r="AQ2" s="170"/>
      <c r="AR2" s="170"/>
      <c r="AS2" s="170"/>
      <c r="AT2" s="170"/>
      <c r="AU2" s="170"/>
      <c r="AV2" s="170"/>
      <c r="AW2" s="170"/>
      <c r="AX2" s="170"/>
      <c r="AY2" s="170"/>
      <c r="AZ2" s="170"/>
      <c r="BA2" s="170"/>
      <c r="BB2" s="170"/>
      <c r="BC2" s="170"/>
      <c r="BD2" s="170"/>
      <c r="BE2" s="170"/>
      <c r="BF2" s="170"/>
    </row>
    <row r="3" spans="1:61" s="166" customFormat="1" ht="17.25" customHeight="1" x14ac:dyDescent="0.35">
      <c r="B3" s="178"/>
      <c r="C3" s="203"/>
      <c r="D3" s="204"/>
      <c r="E3" s="204"/>
      <c r="F3" s="157" t="str">
        <f>UPPER(Lists!K3)</f>
        <v>STATISTICAL OFFICE OF THE EUROPEAN UNION</v>
      </c>
      <c r="G3" s="205"/>
      <c r="H3" s="167"/>
      <c r="I3" s="167"/>
      <c r="K3" s="167"/>
      <c r="L3" s="167"/>
      <c r="M3" s="167"/>
      <c r="N3" s="167"/>
      <c r="O3" s="167"/>
      <c r="P3" s="167"/>
      <c r="Q3" s="167"/>
      <c r="R3" s="167"/>
      <c r="S3" s="167"/>
      <c r="T3" s="167"/>
      <c r="U3" s="167"/>
      <c r="V3" s="167"/>
      <c r="W3" s="167"/>
      <c r="X3" s="167"/>
      <c r="Y3" s="167"/>
      <c r="Z3" s="167"/>
      <c r="AA3" s="167"/>
      <c r="AB3" s="167"/>
      <c r="AC3" s="167"/>
      <c r="AD3" s="167"/>
      <c r="AE3" s="167"/>
      <c r="AF3" s="167"/>
      <c r="AG3" s="167"/>
      <c r="AH3" s="167"/>
      <c r="AI3" s="167"/>
      <c r="AJ3" s="167"/>
      <c r="AK3" s="167"/>
      <c r="AL3" s="167"/>
      <c r="AM3" s="167"/>
      <c r="AN3" s="167"/>
      <c r="AO3" s="167"/>
      <c r="AP3" s="167"/>
      <c r="AQ3" s="167"/>
      <c r="AR3" s="167"/>
      <c r="AS3" s="167"/>
      <c r="AT3" s="167"/>
      <c r="AU3" s="167"/>
      <c r="AV3" s="167"/>
      <c r="AW3" s="167"/>
      <c r="AX3" s="167"/>
      <c r="AY3" s="167"/>
      <c r="AZ3" s="167"/>
      <c r="BA3" s="167"/>
      <c r="BB3" s="167"/>
      <c r="BC3" s="167"/>
      <c r="BD3" s="167"/>
      <c r="BE3" s="167"/>
      <c r="BF3" s="167"/>
    </row>
    <row r="4" spans="1:61" s="166" customFormat="1" ht="22.5" customHeight="1" x14ac:dyDescent="0.35">
      <c r="B4" s="178"/>
      <c r="C4" s="505" t="str">
        <f>UPPER(Lists!K7)</f>
        <v>BIENNIAL WASTE STATISTICS REGULATION - WASTE TREATMENT</v>
      </c>
      <c r="D4" s="505"/>
      <c r="E4" s="505"/>
      <c r="F4" s="505"/>
      <c r="G4" s="205"/>
      <c r="H4" s="167"/>
      <c r="I4" s="167"/>
      <c r="J4" s="167"/>
      <c r="K4" s="167"/>
      <c r="L4" s="167"/>
      <c r="M4" s="167"/>
      <c r="N4" s="167"/>
      <c r="O4" s="167"/>
      <c r="P4" s="167"/>
      <c r="Q4" s="167"/>
      <c r="R4" s="167"/>
      <c r="S4" s="167"/>
      <c r="T4" s="167"/>
      <c r="U4" s="167"/>
      <c r="V4" s="167"/>
      <c r="W4" s="167"/>
      <c r="X4" s="167"/>
      <c r="Y4" s="167"/>
      <c r="Z4" s="167"/>
      <c r="AA4" s="167"/>
      <c r="AB4" s="167"/>
      <c r="AC4" s="167"/>
      <c r="AD4" s="167"/>
      <c r="AE4" s="167"/>
      <c r="AF4" s="167"/>
      <c r="AG4" s="167"/>
      <c r="AH4" s="167"/>
      <c r="AI4" s="167"/>
      <c r="AJ4" s="167"/>
      <c r="AK4" s="167"/>
      <c r="AL4" s="167"/>
      <c r="AM4" s="167"/>
      <c r="AN4" s="167"/>
      <c r="AO4" s="167"/>
      <c r="AP4" s="167"/>
      <c r="AQ4" s="167"/>
      <c r="AR4" s="167"/>
      <c r="AS4" s="167"/>
      <c r="AT4" s="167"/>
      <c r="AU4" s="167"/>
      <c r="AV4" s="167"/>
      <c r="AW4" s="167"/>
      <c r="AX4" s="167"/>
      <c r="AY4" s="167"/>
      <c r="AZ4" s="167"/>
      <c r="BA4" s="167"/>
      <c r="BB4" s="167"/>
      <c r="BC4" s="167"/>
      <c r="BD4" s="167"/>
      <c r="BE4" s="167"/>
      <c r="BF4" s="167"/>
      <c r="BG4" s="167"/>
      <c r="BH4" s="167"/>
      <c r="BI4" s="167"/>
    </row>
    <row r="5" spans="1:61" s="166" customFormat="1" ht="21.75" customHeight="1" x14ac:dyDescent="0.35">
      <c r="B5" s="180"/>
      <c r="C5" s="493" t="str">
        <f>CONCATENATE(Lists!K8," DATA COLLECTION")</f>
        <v>2026 DATA COLLECTION</v>
      </c>
      <c r="D5" s="493"/>
      <c r="E5" s="493"/>
      <c r="F5" s="493"/>
      <c r="G5" s="205"/>
      <c r="H5" s="167"/>
      <c r="I5" s="167"/>
      <c r="J5" s="167"/>
      <c r="K5" s="167"/>
      <c r="L5" s="167"/>
      <c r="M5" s="167"/>
      <c r="N5" s="167"/>
      <c r="O5" s="167"/>
      <c r="P5" s="167"/>
      <c r="Q5" s="167"/>
      <c r="R5" s="167"/>
      <c r="S5" s="167"/>
      <c r="T5" s="167"/>
      <c r="U5" s="167"/>
      <c r="V5" s="167"/>
      <c r="W5" s="167"/>
      <c r="X5" s="167"/>
      <c r="Y5" s="167"/>
      <c r="Z5" s="167"/>
      <c r="AA5" s="167"/>
      <c r="AB5" s="167"/>
      <c r="AC5" s="167"/>
      <c r="AD5" s="167"/>
      <c r="AE5" s="167"/>
      <c r="AF5" s="167"/>
      <c r="AG5" s="167"/>
      <c r="AH5" s="167"/>
      <c r="AI5" s="167"/>
      <c r="AJ5" s="167"/>
      <c r="AK5" s="167"/>
      <c r="AL5" s="167"/>
      <c r="AM5" s="167"/>
      <c r="AN5" s="167"/>
      <c r="AO5" s="167"/>
      <c r="AP5" s="167"/>
      <c r="AQ5" s="167"/>
      <c r="AR5" s="167"/>
      <c r="AS5" s="167"/>
      <c r="AT5" s="167"/>
      <c r="AU5" s="167"/>
      <c r="AV5" s="167"/>
      <c r="AW5" s="167"/>
      <c r="AX5" s="167"/>
      <c r="AY5" s="167"/>
      <c r="AZ5" s="167"/>
      <c r="BA5" s="167"/>
      <c r="BB5" s="167"/>
      <c r="BC5" s="167"/>
      <c r="BD5" s="167"/>
      <c r="BE5" s="167"/>
      <c r="BF5" s="167"/>
      <c r="BG5" s="167"/>
      <c r="BH5" s="167"/>
      <c r="BI5" s="167"/>
    </row>
    <row r="6" spans="1:61" s="166" customFormat="1" ht="15" customHeight="1" thickBot="1" x14ac:dyDescent="0.4">
      <c r="B6" s="180"/>
      <c r="C6" s="182"/>
      <c r="D6" s="182"/>
      <c r="E6" s="182"/>
      <c r="F6" s="182"/>
      <c r="G6" s="205"/>
      <c r="H6" s="167"/>
      <c r="I6" s="167"/>
      <c r="J6" s="167"/>
      <c r="K6" s="167"/>
      <c r="L6" s="167"/>
      <c r="M6" s="167"/>
      <c r="N6" s="167"/>
      <c r="O6" s="167"/>
      <c r="P6" s="167"/>
      <c r="Q6" s="167"/>
      <c r="R6" s="167"/>
      <c r="S6" s="167"/>
      <c r="T6" s="167"/>
      <c r="U6" s="167"/>
      <c r="V6" s="167"/>
      <c r="W6" s="167"/>
      <c r="X6" s="167"/>
      <c r="Y6" s="167"/>
      <c r="Z6" s="167"/>
      <c r="AA6" s="167"/>
      <c r="AB6" s="167"/>
      <c r="AC6" s="167"/>
      <c r="AD6" s="167"/>
      <c r="AE6" s="167"/>
      <c r="AF6" s="167"/>
      <c r="AG6" s="167"/>
      <c r="AH6" s="167"/>
      <c r="AI6" s="167"/>
      <c r="AJ6" s="167"/>
      <c r="AK6" s="167"/>
      <c r="AL6" s="167"/>
      <c r="AM6" s="167"/>
      <c r="AN6" s="167"/>
      <c r="AO6" s="167"/>
      <c r="AP6" s="167"/>
      <c r="AQ6" s="167"/>
      <c r="AR6" s="167"/>
      <c r="AS6" s="167"/>
      <c r="AT6" s="167"/>
      <c r="AU6" s="167"/>
      <c r="AV6" s="167"/>
      <c r="AW6" s="167"/>
      <c r="AX6" s="167"/>
      <c r="AY6" s="167"/>
      <c r="AZ6" s="167"/>
      <c r="BA6" s="167"/>
      <c r="BB6" s="167"/>
      <c r="BC6" s="167"/>
      <c r="BD6" s="167"/>
      <c r="BE6" s="167"/>
      <c r="BF6" s="167"/>
      <c r="BG6" s="167"/>
      <c r="BH6" s="167"/>
      <c r="BI6" s="167"/>
    </row>
    <row r="7" spans="1:61" s="177" customFormat="1" ht="39" customHeight="1" thickBot="1" x14ac:dyDescent="0.4">
      <c r="B7" s="183"/>
      <c r="C7" s="506" t="s">
        <v>489</v>
      </c>
      <c r="D7" s="506"/>
      <c r="E7" s="506"/>
      <c r="F7" s="506"/>
      <c r="G7" s="206"/>
      <c r="H7" s="176"/>
      <c r="I7" s="176"/>
      <c r="J7" s="176"/>
      <c r="K7" s="176"/>
      <c r="L7" s="176"/>
      <c r="M7" s="176"/>
      <c r="N7" s="176"/>
      <c r="O7" s="176"/>
      <c r="P7" s="176"/>
      <c r="Q7" s="176"/>
      <c r="R7" s="176"/>
      <c r="S7" s="176"/>
      <c r="T7" s="176"/>
      <c r="U7" s="176"/>
      <c r="V7" s="176"/>
      <c r="W7" s="176"/>
      <c r="X7" s="176"/>
      <c r="Y7" s="176"/>
      <c r="Z7" s="176"/>
      <c r="AA7" s="176"/>
      <c r="AB7" s="176"/>
      <c r="AC7" s="176"/>
      <c r="AD7" s="176"/>
      <c r="AE7" s="176"/>
      <c r="AF7" s="176"/>
      <c r="AG7" s="176"/>
      <c r="AH7" s="176"/>
      <c r="AI7" s="176"/>
      <c r="AJ7" s="176"/>
      <c r="AK7" s="176"/>
      <c r="AL7" s="176"/>
      <c r="AM7" s="176"/>
      <c r="AN7" s="176"/>
      <c r="AO7" s="176"/>
      <c r="AP7" s="176"/>
      <c r="AQ7" s="176"/>
      <c r="AR7" s="176"/>
      <c r="AS7" s="176"/>
      <c r="AT7" s="176"/>
      <c r="AU7" s="176"/>
      <c r="AV7" s="176"/>
      <c r="AW7" s="176"/>
      <c r="AX7" s="176"/>
      <c r="AY7" s="176"/>
      <c r="AZ7" s="176"/>
      <c r="BA7" s="176"/>
      <c r="BB7" s="176"/>
      <c r="BC7" s="176"/>
      <c r="BD7" s="176"/>
      <c r="BE7" s="176"/>
      <c r="BF7" s="176"/>
      <c r="BG7" s="176"/>
      <c r="BH7" s="176"/>
      <c r="BI7" s="176"/>
    </row>
    <row r="8" spans="1:61" s="177" customFormat="1" ht="24" customHeight="1" x14ac:dyDescent="0.3">
      <c r="A8" s="207"/>
      <c r="B8" s="208"/>
      <c r="C8" s="502" t="s">
        <v>207</v>
      </c>
      <c r="D8" s="502"/>
      <c r="E8" s="502"/>
      <c r="F8" s="502"/>
      <c r="G8" s="209"/>
    </row>
    <row r="9" spans="1:61" s="235" customFormat="1" ht="18" customHeight="1" x14ac:dyDescent="0.3">
      <c r="A9" s="234"/>
      <c r="B9" s="208"/>
      <c r="C9" s="503" t="s">
        <v>490</v>
      </c>
      <c r="D9" s="503"/>
      <c r="E9" s="503"/>
      <c r="F9" s="503"/>
      <c r="G9" s="209"/>
    </row>
    <row r="10" spans="1:61" s="235" customFormat="1" ht="18" customHeight="1" x14ac:dyDescent="0.3">
      <c r="A10" s="234"/>
      <c r="B10" s="208"/>
      <c r="C10" s="503" t="s">
        <v>491</v>
      </c>
      <c r="D10" s="503"/>
      <c r="E10" s="503"/>
      <c r="F10" s="503"/>
      <c r="G10" s="209"/>
    </row>
    <row r="11" spans="1:61" s="235" customFormat="1" ht="18" customHeight="1" x14ac:dyDescent="0.3">
      <c r="A11" s="234"/>
      <c r="B11" s="208"/>
      <c r="C11" s="503" t="s">
        <v>492</v>
      </c>
      <c r="D11" s="503"/>
      <c r="E11" s="503"/>
      <c r="F11" s="503"/>
      <c r="G11" s="209"/>
    </row>
    <row r="12" spans="1:61" s="177" customFormat="1" ht="9.75" customHeight="1" x14ac:dyDescent="0.35">
      <c r="A12" s="207"/>
      <c r="B12" s="208"/>
      <c r="C12" s="211"/>
      <c r="D12" s="211"/>
      <c r="E12" s="211"/>
      <c r="F12" s="211"/>
      <c r="G12" s="209"/>
    </row>
    <row r="13" spans="1:61" s="177" customFormat="1" ht="17.25" customHeight="1" x14ac:dyDescent="0.35">
      <c r="A13" s="207"/>
      <c r="B13" s="208"/>
      <c r="C13" s="236" t="s">
        <v>208</v>
      </c>
      <c r="D13" s="237"/>
      <c r="E13" s="237"/>
      <c r="F13" s="237"/>
      <c r="G13" s="209"/>
    </row>
    <row r="14" spans="1:61" s="177" customFormat="1" ht="4.5" customHeight="1" x14ac:dyDescent="0.35">
      <c r="A14" s="207"/>
      <c r="B14" s="208"/>
      <c r="C14" s="211"/>
      <c r="D14" s="211"/>
      <c r="E14" s="211"/>
      <c r="F14" s="211"/>
      <c r="G14" s="209"/>
    </row>
    <row r="15" spans="1:61" s="177" customFormat="1" ht="62.25" customHeight="1" x14ac:dyDescent="0.35">
      <c r="A15" s="207"/>
      <c r="B15" s="208"/>
      <c r="C15" s="495" t="s">
        <v>493</v>
      </c>
      <c r="D15" s="495"/>
      <c r="E15" s="495"/>
      <c r="F15" s="495"/>
      <c r="G15" s="209"/>
    </row>
    <row r="16" spans="1:61" s="177" customFormat="1" ht="5.25" customHeight="1" x14ac:dyDescent="0.35">
      <c r="A16" s="207"/>
      <c r="B16" s="208"/>
      <c r="C16" s="211"/>
      <c r="D16" s="211"/>
      <c r="E16" s="211"/>
      <c r="F16" s="211"/>
      <c r="G16" s="209"/>
    </row>
    <row r="17" spans="1:7" s="177" customFormat="1" ht="36" customHeight="1" x14ac:dyDescent="0.35">
      <c r="A17" s="207"/>
      <c r="B17" s="208"/>
      <c r="C17" s="495" t="s">
        <v>494</v>
      </c>
      <c r="D17" s="497"/>
      <c r="E17" s="497"/>
      <c r="F17" s="497"/>
      <c r="G17" s="209"/>
    </row>
    <row r="18" spans="1:7" s="177" customFormat="1" ht="3.75" customHeight="1" x14ac:dyDescent="0.35">
      <c r="A18" s="207"/>
      <c r="B18" s="208"/>
      <c r="C18" s="211"/>
      <c r="D18" s="211"/>
      <c r="E18" s="211"/>
      <c r="F18" s="211"/>
      <c r="G18" s="209"/>
    </row>
    <row r="19" spans="1:7" s="177" customFormat="1" ht="17.25" customHeight="1" x14ac:dyDescent="0.35">
      <c r="A19" s="207"/>
      <c r="B19" s="208"/>
      <c r="C19" s="211" t="s">
        <v>495</v>
      </c>
      <c r="D19" s="212"/>
      <c r="E19" s="211"/>
      <c r="F19" s="211"/>
      <c r="G19" s="209"/>
    </row>
    <row r="20" spans="1:7" s="177" customFormat="1" ht="18.75" customHeight="1" x14ac:dyDescent="0.35">
      <c r="A20" s="207"/>
      <c r="B20" s="208"/>
      <c r="C20" s="500" t="str">
        <f>Lists!K19</f>
        <v>https://ec.europa.eu/eurostat/web/waste/methodology</v>
      </c>
      <c r="D20" s="500"/>
      <c r="E20" s="500"/>
      <c r="F20" s="500"/>
      <c r="G20" s="209"/>
    </row>
    <row r="21" spans="1:7" s="177" customFormat="1" ht="5.25" customHeight="1" x14ac:dyDescent="0.35">
      <c r="A21" s="207"/>
      <c r="B21" s="208"/>
      <c r="C21" s="211"/>
      <c r="D21" s="211"/>
      <c r="E21" s="211"/>
      <c r="F21" s="211"/>
      <c r="G21" s="209"/>
    </row>
    <row r="22" spans="1:7" s="177" customFormat="1" ht="17.25" customHeight="1" x14ac:dyDescent="0.35">
      <c r="A22" s="207"/>
      <c r="B22" s="208"/>
      <c r="C22" s="236" t="s">
        <v>496</v>
      </c>
      <c r="D22" s="237"/>
      <c r="E22" s="237"/>
      <c r="F22" s="237"/>
      <c r="G22" s="209"/>
    </row>
    <row r="23" spans="1:7" s="177" customFormat="1" ht="6" customHeight="1" x14ac:dyDescent="0.35">
      <c r="A23" s="207"/>
      <c r="B23" s="208"/>
      <c r="C23" s="211"/>
      <c r="D23" s="211"/>
      <c r="E23" s="211"/>
      <c r="F23" s="211"/>
      <c r="G23" s="209"/>
    </row>
    <row r="24" spans="1:7" s="177" customFormat="1" ht="18.75" customHeight="1" x14ac:dyDescent="0.35">
      <c r="A24" s="207"/>
      <c r="B24" s="208"/>
      <c r="C24" s="497" t="s">
        <v>614</v>
      </c>
      <c r="D24" s="497"/>
      <c r="E24" s="497"/>
      <c r="F24" s="497"/>
      <c r="G24" s="209"/>
    </row>
    <row r="25" spans="1:7" s="177" customFormat="1" ht="36.75" customHeight="1" x14ac:dyDescent="0.35">
      <c r="A25" s="207"/>
      <c r="B25" s="208"/>
      <c r="C25" s="495" t="s">
        <v>497</v>
      </c>
      <c r="D25" s="495"/>
      <c r="E25" s="495"/>
      <c r="F25" s="495"/>
      <c r="G25" s="209"/>
    </row>
    <row r="26" spans="1:7" s="177" customFormat="1" ht="25.5" customHeight="1" x14ac:dyDescent="0.35">
      <c r="A26" s="207"/>
      <c r="B26" s="208"/>
      <c r="C26" s="495" t="s">
        <v>498</v>
      </c>
      <c r="D26" s="497"/>
      <c r="E26" s="497"/>
      <c r="F26" s="497"/>
      <c r="G26" s="209"/>
    </row>
    <row r="27" spans="1:7" s="177" customFormat="1" ht="16.5" customHeight="1" x14ac:dyDescent="0.35">
      <c r="A27" s="207"/>
      <c r="B27" s="208"/>
      <c r="C27" s="499" t="str">
        <f>Lists!K20</f>
        <v>https://ec.europa.eu/eurostat/web/waste/legislation</v>
      </c>
      <c r="D27" s="499"/>
      <c r="E27" s="499"/>
      <c r="F27" s="499"/>
      <c r="G27" s="209"/>
    </row>
    <row r="28" spans="1:7" s="177" customFormat="1" ht="16.5" customHeight="1" x14ac:dyDescent="0.35">
      <c r="A28" s="207"/>
      <c r="B28" s="208"/>
      <c r="C28" s="238"/>
      <c r="D28" s="238"/>
      <c r="E28" s="238" t="s">
        <v>211</v>
      </c>
      <c r="F28" s="238"/>
      <c r="G28" s="209"/>
    </row>
    <row r="29" spans="1:7" s="177" customFormat="1" ht="5.25" customHeight="1" x14ac:dyDescent="0.35">
      <c r="A29" s="207"/>
      <c r="B29" s="208"/>
      <c r="C29" s="211"/>
      <c r="D29" s="211"/>
      <c r="E29" s="211"/>
      <c r="F29" s="211"/>
      <c r="G29" s="209"/>
    </row>
    <row r="30" spans="1:7" s="177" customFormat="1" ht="17.25" customHeight="1" x14ac:dyDescent="0.35">
      <c r="A30" s="207"/>
      <c r="B30" s="208"/>
      <c r="C30" s="236" t="s">
        <v>209</v>
      </c>
      <c r="D30" s="237"/>
      <c r="E30" s="237"/>
      <c r="F30" s="237"/>
      <c r="G30" s="209"/>
    </row>
    <row r="31" spans="1:7" s="177" customFormat="1" ht="7.5" customHeight="1" x14ac:dyDescent="0.35">
      <c r="A31" s="207"/>
      <c r="B31" s="208"/>
      <c r="C31" s="211"/>
      <c r="D31" s="211"/>
      <c r="E31" s="211"/>
      <c r="F31" s="211"/>
      <c r="G31" s="209"/>
    </row>
    <row r="32" spans="1:7" s="177" customFormat="1" ht="30" customHeight="1" x14ac:dyDescent="0.35">
      <c r="A32" s="207"/>
      <c r="B32" s="208"/>
      <c r="C32" s="495" t="s">
        <v>499</v>
      </c>
      <c r="D32" s="495"/>
      <c r="E32" s="495"/>
      <c r="F32" s="495"/>
      <c r="G32" s="209"/>
    </row>
    <row r="33" spans="1:7" s="177" customFormat="1" ht="30" customHeight="1" x14ac:dyDescent="0.35">
      <c r="A33" s="207"/>
      <c r="B33" s="208"/>
      <c r="C33" s="497" t="s">
        <v>500</v>
      </c>
      <c r="D33" s="497"/>
      <c r="E33" s="497"/>
      <c r="F33" s="497"/>
      <c r="G33" s="209"/>
    </row>
    <row r="34" spans="1:7" s="177" customFormat="1" ht="30" customHeight="1" x14ac:dyDescent="0.35">
      <c r="A34" s="207"/>
      <c r="B34" s="208"/>
      <c r="C34" s="495" t="s">
        <v>501</v>
      </c>
      <c r="D34" s="495"/>
      <c r="E34" s="495"/>
      <c r="F34" s="495"/>
      <c r="G34" s="209"/>
    </row>
    <row r="35" spans="1:7" s="228" customFormat="1" ht="7.5" customHeight="1" thickBot="1" x14ac:dyDescent="0.4">
      <c r="B35" s="229"/>
      <c r="C35" s="230"/>
      <c r="D35" s="230"/>
      <c r="E35" s="230"/>
      <c r="F35" s="231"/>
      <c r="G35" s="232"/>
    </row>
    <row r="38" spans="1:7" ht="12" customHeight="1" x14ac:dyDescent="0.25"/>
  </sheetData>
  <sheetProtection algorithmName="SHA-512" hashValue="+UALwVbc92/Uky0LpOVId919j0QIUndo5glbrWC9b5V0Z4+VIsLuj7bH+oqylyyNz6+9/QK4/6kJUbjFAz5SGg==" saltValue="+D70zr00Se55QGrTxdjD3w==" spinCount="100000" sheet="1" objects="1" scenarios="1"/>
  <mergeCells count="17">
    <mergeCell ref="C25:F25"/>
    <mergeCell ref="C4:F4"/>
    <mergeCell ref="C5:F5"/>
    <mergeCell ref="C7:F7"/>
    <mergeCell ref="C8:F8"/>
    <mergeCell ref="C9:F9"/>
    <mergeCell ref="C10:F10"/>
    <mergeCell ref="C11:F11"/>
    <mergeCell ref="C15:F15"/>
    <mergeCell ref="C17:F17"/>
    <mergeCell ref="C20:F20"/>
    <mergeCell ref="C24:F24"/>
    <mergeCell ref="C26:F26"/>
    <mergeCell ref="C27:F27"/>
    <mergeCell ref="C32:F32"/>
    <mergeCell ref="C33:F33"/>
    <mergeCell ref="C34:F34"/>
  </mergeCells>
  <hyperlinks>
    <hyperlink ref="C20:F20" r:id="rId1" display="https://ec.europa.eu/eurostat/web/waste/methodology" xr:uid="{00000000-0004-0000-0300-000000000000}"/>
    <hyperlink ref="C27:F27" r:id="rId2" display="https://ec.europa.eu/eurostat/web/waste/legislation" xr:uid="{00000000-0004-0000-0300-000001000000}"/>
  </hyperlinks>
  <pageMargins left="0.7" right="0.7" top="0.75" bottom="0.75" header="0.3" footer="0.3"/>
  <pageSetup paperSize="9" scale="95" fitToHeight="0" orientation="landscape" verticalDpi="0" r:id="rId3"/>
  <headerFooter>
    <oddFooter>&amp;L&amp;F&amp;CPage &amp;P of &amp;N&amp;R&amp;A</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8">
    <tabColor rgb="FFB9C337"/>
    <pageSetUpPr fitToPage="1"/>
  </sheetPr>
  <dimension ref="A1:BI33"/>
  <sheetViews>
    <sheetView workbookViewId="0"/>
  </sheetViews>
  <sheetFormatPr defaultColWidth="8.7265625" defaultRowHeight="12.5" x14ac:dyDescent="0.25"/>
  <cols>
    <col min="1" max="1" width="2.54296875" style="233" customWidth="1"/>
    <col min="2" max="2" width="1.453125" style="233" customWidth="1"/>
    <col min="3" max="3" width="4.453125" style="233" customWidth="1"/>
    <col min="4" max="4" width="20" style="233" customWidth="1"/>
    <col min="5" max="5" width="66.7265625" style="233" customWidth="1"/>
    <col min="6" max="6" width="35.81640625" style="233" customWidth="1"/>
    <col min="7" max="7" width="1.26953125" style="233" customWidth="1"/>
    <col min="8" max="16384" width="8.7265625" style="233"/>
  </cols>
  <sheetData>
    <row r="1" spans="1:61" s="166" customFormat="1" ht="12" thickBot="1" x14ac:dyDescent="0.4">
      <c r="E1" s="167"/>
      <c r="F1" s="167"/>
      <c r="G1" s="167"/>
      <c r="H1" s="167"/>
      <c r="I1" s="167"/>
      <c r="K1" s="167"/>
      <c r="L1" s="167"/>
      <c r="M1" s="167"/>
      <c r="N1" s="167"/>
      <c r="O1" s="167"/>
      <c r="P1" s="167"/>
      <c r="Q1" s="167"/>
      <c r="R1" s="167"/>
      <c r="S1" s="167"/>
      <c r="T1" s="167"/>
      <c r="U1" s="167"/>
      <c r="V1" s="167"/>
      <c r="W1" s="167"/>
      <c r="X1" s="167"/>
      <c r="Y1" s="167"/>
      <c r="Z1" s="167"/>
      <c r="AA1" s="167"/>
      <c r="AB1" s="167"/>
      <c r="AC1" s="167"/>
      <c r="AD1" s="167"/>
      <c r="AE1" s="167"/>
      <c r="AF1" s="167"/>
      <c r="AG1" s="167"/>
      <c r="AH1" s="167"/>
      <c r="AI1" s="167"/>
      <c r="AJ1" s="167"/>
      <c r="AK1" s="167"/>
      <c r="AL1" s="167"/>
      <c r="AM1" s="167"/>
      <c r="AN1" s="167"/>
      <c r="AO1" s="167"/>
      <c r="AP1" s="167"/>
      <c r="AQ1" s="167"/>
      <c r="AR1" s="167"/>
      <c r="AS1" s="167"/>
      <c r="AT1" s="167"/>
      <c r="AU1" s="167"/>
      <c r="AV1" s="167"/>
      <c r="AW1" s="167"/>
      <c r="AX1" s="167"/>
      <c r="AY1" s="167"/>
      <c r="AZ1" s="167"/>
      <c r="BA1" s="167"/>
      <c r="BB1" s="167"/>
      <c r="BC1" s="167"/>
      <c r="BD1" s="167"/>
      <c r="BE1" s="167"/>
      <c r="BF1" s="167"/>
    </row>
    <row r="2" spans="1:61" s="171" customFormat="1" ht="42" customHeight="1" x14ac:dyDescent="0.25">
      <c r="B2" s="168"/>
      <c r="C2" s="200"/>
      <c r="D2" s="201"/>
      <c r="E2" s="201"/>
      <c r="F2" s="201"/>
      <c r="G2" s="202"/>
      <c r="H2" s="170"/>
      <c r="I2" s="170"/>
      <c r="K2" s="170"/>
      <c r="L2" s="170"/>
      <c r="M2" s="170"/>
      <c r="N2" s="170"/>
      <c r="O2" s="170"/>
      <c r="P2" s="170"/>
      <c r="Q2" s="170"/>
      <c r="R2" s="170"/>
      <c r="S2" s="170"/>
      <c r="T2" s="170"/>
      <c r="U2" s="170"/>
      <c r="V2" s="170"/>
      <c r="W2" s="170"/>
      <c r="X2" s="170"/>
      <c r="Y2" s="170"/>
      <c r="Z2" s="170"/>
      <c r="AA2" s="170"/>
      <c r="AB2" s="170"/>
      <c r="AC2" s="170"/>
      <c r="AD2" s="170"/>
      <c r="AE2" s="170"/>
      <c r="AF2" s="170"/>
      <c r="AG2" s="170"/>
      <c r="AH2" s="170"/>
      <c r="AI2" s="170"/>
      <c r="AJ2" s="170"/>
      <c r="AK2" s="170"/>
      <c r="AL2" s="170"/>
      <c r="AM2" s="170"/>
      <c r="AN2" s="170"/>
      <c r="AO2" s="170"/>
      <c r="AP2" s="170"/>
      <c r="AQ2" s="170"/>
      <c r="AR2" s="170"/>
      <c r="AS2" s="170"/>
      <c r="AT2" s="170"/>
      <c r="AU2" s="170"/>
      <c r="AV2" s="170"/>
      <c r="AW2" s="170"/>
      <c r="AX2" s="170"/>
      <c r="AY2" s="170"/>
      <c r="AZ2" s="170"/>
      <c r="BA2" s="170"/>
      <c r="BB2" s="170"/>
      <c r="BC2" s="170"/>
      <c r="BD2" s="170"/>
      <c r="BE2" s="170"/>
      <c r="BF2" s="170"/>
    </row>
    <row r="3" spans="1:61" s="166" customFormat="1" ht="17.25" customHeight="1" x14ac:dyDescent="0.35">
      <c r="B3" s="178"/>
      <c r="C3" s="203"/>
      <c r="D3" s="204"/>
      <c r="E3" s="204"/>
      <c r="F3" s="157" t="str">
        <f>UPPER(Lists!K3)</f>
        <v>STATISTICAL OFFICE OF THE EUROPEAN UNION</v>
      </c>
      <c r="G3" s="205"/>
      <c r="H3" s="167"/>
      <c r="I3" s="167"/>
      <c r="K3" s="167"/>
      <c r="L3" s="167"/>
      <c r="M3" s="167"/>
      <c r="N3" s="167"/>
      <c r="O3" s="167"/>
      <c r="P3" s="167"/>
      <c r="Q3" s="167"/>
      <c r="R3" s="167"/>
      <c r="S3" s="167"/>
      <c r="T3" s="167"/>
      <c r="U3" s="167"/>
      <c r="V3" s="167"/>
      <c r="W3" s="167"/>
      <c r="X3" s="167"/>
      <c r="Y3" s="167"/>
      <c r="Z3" s="167"/>
      <c r="AA3" s="167"/>
      <c r="AB3" s="167"/>
      <c r="AC3" s="167"/>
      <c r="AD3" s="167"/>
      <c r="AE3" s="167"/>
      <c r="AF3" s="167"/>
      <c r="AG3" s="167"/>
      <c r="AH3" s="167"/>
      <c r="AI3" s="167"/>
      <c r="AJ3" s="167"/>
      <c r="AK3" s="167"/>
      <c r="AL3" s="167"/>
      <c r="AM3" s="167"/>
      <c r="AN3" s="167"/>
      <c r="AO3" s="167"/>
      <c r="AP3" s="167"/>
      <c r="AQ3" s="167"/>
      <c r="AR3" s="167"/>
      <c r="AS3" s="167"/>
      <c r="AT3" s="167"/>
      <c r="AU3" s="167"/>
      <c r="AV3" s="167"/>
      <c r="AW3" s="167"/>
      <c r="AX3" s="167"/>
      <c r="AY3" s="167"/>
      <c r="AZ3" s="167"/>
      <c r="BA3" s="167"/>
      <c r="BB3" s="167"/>
      <c r="BC3" s="167"/>
      <c r="BD3" s="167"/>
      <c r="BE3" s="167"/>
      <c r="BF3" s="167"/>
    </row>
    <row r="4" spans="1:61" s="166" customFormat="1" ht="22.5" customHeight="1" x14ac:dyDescent="0.35">
      <c r="B4" s="178"/>
      <c r="C4" s="505" t="str">
        <f>UPPER(Lists!K7)</f>
        <v>BIENNIAL WASTE STATISTICS REGULATION - WASTE TREATMENT</v>
      </c>
      <c r="D4" s="505"/>
      <c r="E4" s="505"/>
      <c r="F4" s="505"/>
      <c r="G4" s="205"/>
      <c r="H4" s="167"/>
      <c r="I4" s="167"/>
      <c r="J4" s="167"/>
      <c r="K4" s="167"/>
      <c r="L4" s="167"/>
      <c r="M4" s="167"/>
      <c r="N4" s="167"/>
      <c r="O4" s="167"/>
      <c r="P4" s="167"/>
      <c r="Q4" s="167"/>
      <c r="R4" s="167"/>
      <c r="S4" s="167"/>
      <c r="T4" s="167"/>
      <c r="U4" s="167"/>
      <c r="V4" s="167"/>
      <c r="W4" s="167"/>
      <c r="X4" s="167"/>
      <c r="Y4" s="167"/>
      <c r="Z4" s="167"/>
      <c r="AA4" s="167"/>
      <c r="AB4" s="167"/>
      <c r="AC4" s="167"/>
      <c r="AD4" s="167"/>
      <c r="AE4" s="167"/>
      <c r="AF4" s="167"/>
      <c r="AG4" s="167"/>
      <c r="AH4" s="167"/>
      <c r="AI4" s="167"/>
      <c r="AJ4" s="167"/>
      <c r="AK4" s="167"/>
      <c r="AL4" s="167"/>
      <c r="AM4" s="167"/>
      <c r="AN4" s="167"/>
      <c r="AO4" s="167"/>
      <c r="AP4" s="167"/>
      <c r="AQ4" s="167"/>
      <c r="AR4" s="167"/>
      <c r="AS4" s="167"/>
      <c r="AT4" s="167"/>
      <c r="AU4" s="167"/>
      <c r="AV4" s="167"/>
      <c r="AW4" s="167"/>
      <c r="AX4" s="167"/>
      <c r="AY4" s="167"/>
      <c r="AZ4" s="167"/>
      <c r="BA4" s="167"/>
      <c r="BB4" s="167"/>
      <c r="BC4" s="167"/>
      <c r="BD4" s="167"/>
      <c r="BE4" s="167"/>
      <c r="BF4" s="167"/>
      <c r="BG4" s="167"/>
      <c r="BH4" s="167"/>
      <c r="BI4" s="167"/>
    </row>
    <row r="5" spans="1:61" s="166" customFormat="1" ht="21.75" customHeight="1" x14ac:dyDescent="0.35">
      <c r="B5" s="180"/>
      <c r="C5" s="493" t="str">
        <f>CONCATENATE(Lists!K8," DATA COLLECTION")</f>
        <v>2026 DATA COLLECTION</v>
      </c>
      <c r="D5" s="493"/>
      <c r="E5" s="493"/>
      <c r="F5" s="493"/>
      <c r="G5" s="205"/>
      <c r="H5" s="167"/>
      <c r="I5" s="167"/>
      <c r="J5" s="167"/>
      <c r="K5" s="167"/>
      <c r="L5" s="167"/>
      <c r="M5" s="167"/>
      <c r="N5" s="167"/>
      <c r="O5" s="167"/>
      <c r="P5" s="167"/>
      <c r="Q5" s="167"/>
      <c r="R5" s="167"/>
      <c r="S5" s="167"/>
      <c r="T5" s="167"/>
      <c r="U5" s="167"/>
      <c r="V5" s="167"/>
      <c r="W5" s="167"/>
      <c r="X5" s="167"/>
      <c r="Y5" s="167"/>
      <c r="Z5" s="167"/>
      <c r="AA5" s="167"/>
      <c r="AB5" s="167"/>
      <c r="AC5" s="167"/>
      <c r="AD5" s="167"/>
      <c r="AE5" s="167"/>
      <c r="AF5" s="167"/>
      <c r="AG5" s="167"/>
      <c r="AH5" s="167"/>
      <c r="AI5" s="167"/>
      <c r="AJ5" s="167"/>
      <c r="AK5" s="167"/>
      <c r="AL5" s="167"/>
      <c r="AM5" s="167"/>
      <c r="AN5" s="167"/>
      <c r="AO5" s="167"/>
      <c r="AP5" s="167"/>
      <c r="AQ5" s="167"/>
      <c r="AR5" s="167"/>
      <c r="AS5" s="167"/>
      <c r="AT5" s="167"/>
      <c r="AU5" s="167"/>
      <c r="AV5" s="167"/>
      <c r="AW5" s="167"/>
      <c r="AX5" s="167"/>
      <c r="AY5" s="167"/>
      <c r="AZ5" s="167"/>
      <c r="BA5" s="167"/>
      <c r="BB5" s="167"/>
      <c r="BC5" s="167"/>
      <c r="BD5" s="167"/>
      <c r="BE5" s="167"/>
      <c r="BF5" s="167"/>
      <c r="BG5" s="167"/>
      <c r="BH5" s="167"/>
      <c r="BI5" s="167"/>
    </row>
    <row r="6" spans="1:61" s="166" customFormat="1" ht="15" customHeight="1" thickBot="1" x14ac:dyDescent="0.4">
      <c r="B6" s="180"/>
      <c r="C6" s="182"/>
      <c r="D6" s="182"/>
      <c r="E6" s="182"/>
      <c r="F6" s="182"/>
      <c r="G6" s="205"/>
      <c r="H6" s="167"/>
      <c r="I6" s="167"/>
      <c r="J6" s="167"/>
      <c r="K6" s="167"/>
      <c r="L6" s="167"/>
      <c r="M6" s="167"/>
      <c r="N6" s="167"/>
      <c r="O6" s="167"/>
      <c r="P6" s="167"/>
      <c r="Q6" s="167"/>
      <c r="R6" s="167"/>
      <c r="S6" s="167"/>
      <c r="T6" s="167"/>
      <c r="U6" s="167"/>
      <c r="V6" s="167"/>
      <c r="W6" s="167"/>
      <c r="X6" s="167"/>
      <c r="Y6" s="167"/>
      <c r="Z6" s="167"/>
      <c r="AA6" s="167"/>
      <c r="AB6" s="167"/>
      <c r="AC6" s="167"/>
      <c r="AD6" s="167"/>
      <c r="AE6" s="167"/>
      <c r="AF6" s="167"/>
      <c r="AG6" s="167"/>
      <c r="AH6" s="167"/>
      <c r="AI6" s="167"/>
      <c r="AJ6" s="167"/>
      <c r="AK6" s="167"/>
      <c r="AL6" s="167"/>
      <c r="AM6" s="167"/>
      <c r="AN6" s="167"/>
      <c r="AO6" s="167"/>
      <c r="AP6" s="167"/>
      <c r="AQ6" s="167"/>
      <c r="AR6" s="167"/>
      <c r="AS6" s="167"/>
      <c r="AT6" s="167"/>
      <c r="AU6" s="167"/>
      <c r="AV6" s="167"/>
      <c r="AW6" s="167"/>
      <c r="AX6" s="167"/>
      <c r="AY6" s="167"/>
      <c r="AZ6" s="167"/>
      <c r="BA6" s="167"/>
      <c r="BB6" s="167"/>
      <c r="BC6" s="167"/>
      <c r="BD6" s="167"/>
      <c r="BE6" s="167"/>
      <c r="BF6" s="167"/>
      <c r="BG6" s="167"/>
      <c r="BH6" s="167"/>
      <c r="BI6" s="167"/>
    </row>
    <row r="7" spans="1:61" s="177" customFormat="1" ht="39" customHeight="1" thickBot="1" x14ac:dyDescent="0.4">
      <c r="B7" s="183"/>
      <c r="C7" s="506" t="s">
        <v>502</v>
      </c>
      <c r="D7" s="506"/>
      <c r="E7" s="506"/>
      <c r="F7" s="506"/>
      <c r="G7" s="206"/>
      <c r="H7" s="176"/>
      <c r="I7" s="176"/>
      <c r="J7" s="176"/>
      <c r="K7" s="176"/>
      <c r="L7" s="176"/>
      <c r="M7" s="176"/>
      <c r="N7" s="176"/>
      <c r="O7" s="176"/>
      <c r="P7" s="176"/>
      <c r="Q7" s="176"/>
      <c r="R7" s="176"/>
      <c r="S7" s="176"/>
      <c r="T7" s="176"/>
      <c r="U7" s="176"/>
      <c r="V7" s="176"/>
      <c r="W7" s="176"/>
      <c r="X7" s="176"/>
      <c r="Y7" s="176"/>
      <c r="Z7" s="176"/>
      <c r="AA7" s="176"/>
      <c r="AB7" s="176"/>
      <c r="AC7" s="176"/>
      <c r="AD7" s="176"/>
      <c r="AE7" s="176"/>
      <c r="AF7" s="176"/>
      <c r="AG7" s="176"/>
      <c r="AH7" s="176"/>
      <c r="AI7" s="176"/>
      <c r="AJ7" s="176"/>
      <c r="AK7" s="176"/>
      <c r="AL7" s="176"/>
      <c r="AM7" s="176"/>
      <c r="AN7" s="176"/>
      <c r="AO7" s="176"/>
      <c r="AP7" s="176"/>
      <c r="AQ7" s="176"/>
      <c r="AR7" s="176"/>
      <c r="AS7" s="176"/>
      <c r="AT7" s="176"/>
      <c r="AU7" s="176"/>
      <c r="AV7" s="176"/>
      <c r="AW7" s="176"/>
      <c r="AX7" s="176"/>
      <c r="AY7" s="176"/>
      <c r="AZ7" s="176"/>
      <c r="BA7" s="176"/>
      <c r="BB7" s="176"/>
      <c r="BC7" s="176"/>
      <c r="BD7" s="176"/>
      <c r="BE7" s="176"/>
      <c r="BF7" s="176"/>
      <c r="BG7" s="176"/>
      <c r="BH7" s="176"/>
      <c r="BI7" s="176"/>
    </row>
    <row r="8" spans="1:61" s="177" customFormat="1" ht="21" customHeight="1" x14ac:dyDescent="0.3">
      <c r="A8" s="207"/>
      <c r="B8" s="208"/>
      <c r="C8" s="502" t="s">
        <v>207</v>
      </c>
      <c r="D8" s="502"/>
      <c r="E8" s="502"/>
      <c r="F8" s="502"/>
      <c r="G8" s="209"/>
    </row>
    <row r="9" spans="1:61" s="235" customFormat="1" ht="18" customHeight="1" x14ac:dyDescent="0.3">
      <c r="A9" s="234"/>
      <c r="B9" s="208"/>
      <c r="C9" s="503" t="s">
        <v>503</v>
      </c>
      <c r="D9" s="503"/>
      <c r="E9" s="503"/>
      <c r="F9" s="503"/>
      <c r="G9" s="209"/>
    </row>
    <row r="10" spans="1:61" s="235" customFormat="1" ht="18" customHeight="1" x14ac:dyDescent="0.3">
      <c r="A10" s="234"/>
      <c r="B10" s="208"/>
      <c r="C10" s="503" t="s">
        <v>504</v>
      </c>
      <c r="D10" s="503"/>
      <c r="E10" s="503"/>
      <c r="F10" s="503"/>
      <c r="G10" s="209"/>
    </row>
    <row r="11" spans="1:61" s="235" customFormat="1" ht="18" customHeight="1" x14ac:dyDescent="0.3">
      <c r="A11" s="234"/>
      <c r="B11" s="208"/>
      <c r="C11" s="503" t="s">
        <v>505</v>
      </c>
      <c r="D11" s="503"/>
      <c r="E11" s="503"/>
      <c r="F11" s="503"/>
      <c r="G11" s="209"/>
    </row>
    <row r="12" spans="1:61" s="177" customFormat="1" ht="14" x14ac:dyDescent="0.35">
      <c r="A12" s="207"/>
      <c r="B12" s="208"/>
      <c r="C12" s="211"/>
      <c r="D12" s="211"/>
      <c r="E12" s="211"/>
      <c r="F12" s="211"/>
      <c r="G12" s="209"/>
    </row>
    <row r="13" spans="1:61" s="177" customFormat="1" ht="17.25" customHeight="1" x14ac:dyDescent="0.35">
      <c r="A13" s="207"/>
      <c r="B13" s="208"/>
      <c r="C13" s="236" t="s">
        <v>506</v>
      </c>
      <c r="D13" s="237"/>
      <c r="E13" s="237"/>
      <c r="F13" s="237"/>
      <c r="G13" s="209"/>
    </row>
    <row r="14" spans="1:61" s="177" customFormat="1" ht="14" x14ac:dyDescent="0.35">
      <c r="A14" s="207"/>
      <c r="B14" s="208"/>
      <c r="C14" s="211"/>
      <c r="D14" s="211"/>
      <c r="E14" s="211"/>
      <c r="F14" s="211"/>
      <c r="G14" s="209"/>
    </row>
    <row r="15" spans="1:61" s="177" customFormat="1" ht="14" x14ac:dyDescent="0.35">
      <c r="A15" s="207"/>
      <c r="B15" s="208"/>
      <c r="C15" s="495" t="s">
        <v>507</v>
      </c>
      <c r="D15" s="495"/>
      <c r="E15" s="495"/>
      <c r="F15" s="495"/>
      <c r="G15" s="209"/>
    </row>
    <row r="16" spans="1:61" s="177" customFormat="1" ht="27.75" customHeight="1" x14ac:dyDescent="0.35">
      <c r="A16" s="207"/>
      <c r="B16" s="208"/>
      <c r="C16" s="495" t="s">
        <v>277</v>
      </c>
      <c r="D16" s="495"/>
      <c r="E16" s="495"/>
      <c r="F16" s="495"/>
      <c r="G16" s="209"/>
    </row>
    <row r="17" spans="1:7" s="177" customFormat="1" ht="34" customHeight="1" x14ac:dyDescent="0.35">
      <c r="A17" s="207"/>
      <c r="B17" s="208"/>
      <c r="C17" s="495" t="s">
        <v>284</v>
      </c>
      <c r="D17" s="495"/>
      <c r="E17" s="495"/>
      <c r="F17" s="495"/>
      <c r="G17" s="209"/>
    </row>
    <row r="18" spans="1:7" s="177" customFormat="1" ht="5.25" customHeight="1" x14ac:dyDescent="0.35">
      <c r="A18" s="207"/>
      <c r="B18" s="208"/>
      <c r="C18" s="211"/>
      <c r="D18" s="211"/>
      <c r="E18" s="211"/>
      <c r="F18" s="211"/>
      <c r="G18" s="209"/>
    </row>
    <row r="19" spans="1:7" s="177" customFormat="1" ht="17.25" customHeight="1" x14ac:dyDescent="0.35">
      <c r="A19" s="207"/>
      <c r="B19" s="208"/>
      <c r="C19" s="236" t="s">
        <v>508</v>
      </c>
      <c r="D19" s="237"/>
      <c r="E19" s="237"/>
      <c r="F19" s="237"/>
      <c r="G19" s="209"/>
    </row>
    <row r="20" spans="1:7" s="177" customFormat="1" ht="7.5" customHeight="1" x14ac:dyDescent="0.35">
      <c r="A20" s="207"/>
      <c r="B20" s="208"/>
      <c r="C20" s="211"/>
      <c r="D20" s="211"/>
      <c r="E20" s="211"/>
      <c r="F20" s="211"/>
      <c r="G20" s="209"/>
    </row>
    <row r="21" spans="1:7" s="177" customFormat="1" ht="20.25" customHeight="1" x14ac:dyDescent="0.35">
      <c r="A21" s="207"/>
      <c r="B21" s="208"/>
      <c r="C21" s="495" t="s">
        <v>509</v>
      </c>
      <c r="D21" s="495"/>
      <c r="E21" s="495"/>
      <c r="F21" s="495"/>
      <c r="G21" s="209"/>
    </row>
    <row r="22" spans="1:7" s="242" customFormat="1" ht="20.25" customHeight="1" x14ac:dyDescent="0.35">
      <c r="A22" s="239"/>
      <c r="B22" s="240"/>
      <c r="C22" s="497" t="s">
        <v>285</v>
      </c>
      <c r="D22" s="497"/>
      <c r="E22" s="497"/>
      <c r="F22" s="497"/>
      <c r="G22" s="241"/>
    </row>
    <row r="23" spans="1:7" s="242" customFormat="1" ht="19.5" customHeight="1" x14ac:dyDescent="0.35">
      <c r="A23" s="239"/>
      <c r="B23" s="240"/>
      <c r="C23" s="507" t="s">
        <v>286</v>
      </c>
      <c r="D23" s="507"/>
      <c r="E23" s="507"/>
      <c r="F23" s="507"/>
      <c r="G23" s="241"/>
    </row>
    <row r="24" spans="1:7" s="242" customFormat="1" ht="83.25" customHeight="1" x14ac:dyDescent="0.35">
      <c r="A24" s="239"/>
      <c r="B24" s="240"/>
      <c r="C24" s="495" t="s">
        <v>287</v>
      </c>
      <c r="D24" s="495"/>
      <c r="E24" s="495"/>
      <c r="F24" s="495"/>
      <c r="G24" s="241"/>
    </row>
    <row r="25" spans="1:7" s="242" customFormat="1" ht="69" customHeight="1" x14ac:dyDescent="0.35">
      <c r="A25" s="239"/>
      <c r="B25" s="240"/>
      <c r="C25" s="495" t="s">
        <v>288</v>
      </c>
      <c r="D25" s="495"/>
      <c r="E25" s="495"/>
      <c r="F25" s="495"/>
      <c r="G25" s="241"/>
    </row>
    <row r="26" spans="1:7" s="242" customFormat="1" ht="66" customHeight="1" x14ac:dyDescent="0.35">
      <c r="A26" s="239"/>
      <c r="B26" s="240"/>
      <c r="C26" s="495" t="s">
        <v>289</v>
      </c>
      <c r="D26" s="495"/>
      <c r="E26" s="495"/>
      <c r="F26" s="495"/>
      <c r="G26" s="241"/>
    </row>
    <row r="27" spans="1:7" s="242" customFormat="1" ht="39" customHeight="1" x14ac:dyDescent="0.35">
      <c r="A27" s="239"/>
      <c r="B27" s="240"/>
      <c r="C27" s="495" t="s">
        <v>291</v>
      </c>
      <c r="D27" s="495"/>
      <c r="E27" s="495"/>
      <c r="F27" s="495"/>
      <c r="G27" s="241"/>
    </row>
    <row r="28" spans="1:7" s="242" customFormat="1" ht="36.75" customHeight="1" x14ac:dyDescent="0.35">
      <c r="A28" s="239"/>
      <c r="B28" s="240"/>
      <c r="C28" s="495" t="s">
        <v>579</v>
      </c>
      <c r="D28" s="495"/>
      <c r="E28" s="495"/>
      <c r="F28" s="495"/>
      <c r="G28" s="241"/>
    </row>
    <row r="29" spans="1:7" s="177" customFormat="1" ht="7.5" customHeight="1" x14ac:dyDescent="0.35">
      <c r="A29" s="207"/>
      <c r="B29" s="208"/>
      <c r="C29" s="348"/>
      <c r="D29" s="348"/>
      <c r="E29" s="348"/>
      <c r="F29" s="348"/>
      <c r="G29" s="209"/>
    </row>
    <row r="30" spans="1:7" s="177" customFormat="1" ht="17.25" customHeight="1" x14ac:dyDescent="0.35">
      <c r="A30" s="207"/>
      <c r="B30" s="208"/>
      <c r="C30" s="236" t="s">
        <v>510</v>
      </c>
      <c r="D30" s="237"/>
      <c r="E30" s="237"/>
      <c r="F30" s="237"/>
      <c r="G30" s="209"/>
    </row>
    <row r="31" spans="1:7" s="177" customFormat="1" ht="7.5" customHeight="1" x14ac:dyDescent="0.35">
      <c r="A31" s="207"/>
      <c r="B31" s="208"/>
      <c r="C31" s="211"/>
      <c r="D31" s="211"/>
      <c r="E31" s="211"/>
      <c r="F31" s="211"/>
      <c r="G31" s="209"/>
    </row>
    <row r="32" spans="1:7" s="177" customFormat="1" ht="40.5" customHeight="1" x14ac:dyDescent="0.35">
      <c r="A32" s="207"/>
      <c r="B32" s="208"/>
      <c r="C32" s="495" t="s">
        <v>290</v>
      </c>
      <c r="D32" s="495"/>
      <c r="E32" s="495"/>
      <c r="F32" s="495"/>
      <c r="G32" s="209"/>
    </row>
    <row r="33" spans="2:7" s="228" customFormat="1" ht="7.5" customHeight="1" thickBot="1" x14ac:dyDescent="0.4">
      <c r="B33" s="229"/>
      <c r="C33" s="230"/>
      <c r="D33" s="230"/>
      <c r="E33" s="230"/>
      <c r="F33" s="231"/>
      <c r="G33" s="232"/>
    </row>
  </sheetData>
  <sheetProtection algorithmName="SHA-512" hashValue="vseaK0ny6F1hSLDMLVeYZmxxxTT03tYBWmN7/t553NTY0F0bfaqA6pfFy0uVXTe0CUlnJXBqxaB8ovVkvr6T4g==" saltValue="Hq5EJF+GWgOaAOrpsEr1ew==" spinCount="100000" sheet="1" objects="1" scenarios="1"/>
  <mergeCells count="19">
    <mergeCell ref="C10:F10"/>
    <mergeCell ref="C4:F4"/>
    <mergeCell ref="C5:F5"/>
    <mergeCell ref="C7:F7"/>
    <mergeCell ref="C8:F8"/>
    <mergeCell ref="C9:F9"/>
    <mergeCell ref="C32:F32"/>
    <mergeCell ref="C11:F11"/>
    <mergeCell ref="C15:F15"/>
    <mergeCell ref="C16:F16"/>
    <mergeCell ref="C17:F17"/>
    <mergeCell ref="C21:F21"/>
    <mergeCell ref="C22:F22"/>
    <mergeCell ref="C23:F23"/>
    <mergeCell ref="C24:F24"/>
    <mergeCell ref="C25:F25"/>
    <mergeCell ref="C26:F26"/>
    <mergeCell ref="C27:F27"/>
    <mergeCell ref="C28:F28"/>
  </mergeCells>
  <pageMargins left="0.70866141732283472" right="0.70866141732283472" top="0.74803149606299213" bottom="0.74803149606299213" header="0.31496062992125984" footer="0.31496062992125984"/>
  <pageSetup paperSize="9" scale="65" fitToHeight="0" orientation="portrait" r:id="rId1"/>
  <headerFooter>
    <oddFooter>&amp;L&amp;F&amp;CPage &amp;P of &amp;N &amp;R&amp;A</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79CDC9"/>
    <pageSetUpPr fitToPage="1"/>
  </sheetPr>
  <dimension ref="A1:BO24"/>
  <sheetViews>
    <sheetView workbookViewId="0">
      <selection activeCell="K10" sqref="K10"/>
    </sheetView>
  </sheetViews>
  <sheetFormatPr defaultColWidth="8.7265625" defaultRowHeight="12.5" x14ac:dyDescent="0.25"/>
  <cols>
    <col min="1" max="1" width="2.54296875" style="282" customWidth="1"/>
    <col min="2" max="2" width="1.81640625" style="282" customWidth="1"/>
    <col min="3" max="3" width="15.7265625" style="282" customWidth="1"/>
    <col min="4" max="4" width="32.26953125" style="282" customWidth="1"/>
    <col min="5" max="5" width="21.81640625" style="282" customWidth="1"/>
    <col min="6" max="6" width="2.54296875" style="282" customWidth="1"/>
    <col min="7" max="7" width="66.1796875" style="282" customWidth="1"/>
    <col min="8" max="8" width="1.26953125" style="282" customWidth="1"/>
    <col min="9" max="16384" width="8.7265625" style="282"/>
  </cols>
  <sheetData>
    <row r="1" spans="1:67" s="243" customFormat="1" ht="12" thickBot="1" x14ac:dyDescent="0.4">
      <c r="E1" s="244"/>
      <c r="F1" s="244"/>
      <c r="G1" s="244"/>
      <c r="H1" s="244"/>
      <c r="I1" s="244"/>
      <c r="J1" s="244"/>
      <c r="K1" s="244"/>
      <c r="L1" s="244"/>
      <c r="M1" s="244"/>
      <c r="N1" s="244"/>
      <c r="O1" s="244"/>
      <c r="Q1" s="244"/>
      <c r="R1" s="244"/>
      <c r="S1" s="244"/>
      <c r="T1" s="244"/>
      <c r="U1" s="244"/>
      <c r="V1" s="244"/>
      <c r="W1" s="244"/>
      <c r="X1" s="244"/>
      <c r="Y1" s="244"/>
      <c r="Z1" s="244"/>
      <c r="AA1" s="244"/>
      <c r="AB1" s="244"/>
      <c r="AC1" s="244"/>
      <c r="AD1" s="244"/>
      <c r="AE1" s="244"/>
      <c r="AF1" s="244"/>
      <c r="AG1" s="244"/>
      <c r="AH1" s="244"/>
      <c r="AI1" s="244"/>
      <c r="AJ1" s="244"/>
      <c r="AK1" s="244"/>
      <c r="AL1" s="244"/>
      <c r="AM1" s="244"/>
      <c r="AN1" s="244"/>
      <c r="AO1" s="244"/>
      <c r="AP1" s="244"/>
      <c r="AQ1" s="244"/>
      <c r="AR1" s="244"/>
      <c r="AS1" s="244"/>
      <c r="AT1" s="244"/>
      <c r="AU1" s="244"/>
      <c r="AV1" s="244"/>
      <c r="AW1" s="244"/>
      <c r="AX1" s="244"/>
      <c r="AY1" s="244"/>
      <c r="AZ1" s="244"/>
      <c r="BA1" s="244"/>
      <c r="BB1" s="244"/>
      <c r="BC1" s="244"/>
      <c r="BD1" s="244"/>
      <c r="BE1" s="244"/>
      <c r="BF1" s="244"/>
      <c r="BG1" s="244"/>
      <c r="BH1" s="244"/>
      <c r="BI1" s="244"/>
      <c r="BJ1" s="244"/>
      <c r="BK1" s="244"/>
      <c r="BL1" s="244"/>
    </row>
    <row r="2" spans="1:67" s="245" customFormat="1" ht="42" customHeight="1" x14ac:dyDescent="0.25">
      <c r="B2" s="246"/>
      <c r="C2" s="247"/>
      <c r="D2" s="248"/>
      <c r="E2" s="248"/>
      <c r="F2" s="248"/>
      <c r="G2" s="248"/>
      <c r="H2" s="249"/>
      <c r="I2" s="250"/>
      <c r="J2" s="250"/>
      <c r="K2" s="250"/>
      <c r="L2" s="250"/>
      <c r="M2" s="250"/>
      <c r="N2" s="250"/>
      <c r="O2" s="250"/>
      <c r="Q2" s="250"/>
      <c r="R2" s="250"/>
      <c r="S2" s="250"/>
      <c r="T2" s="250"/>
      <c r="U2" s="250"/>
      <c r="V2" s="250"/>
      <c r="W2" s="250"/>
      <c r="X2" s="250"/>
      <c r="Y2" s="250"/>
      <c r="Z2" s="250"/>
      <c r="AA2" s="250"/>
      <c r="AB2" s="250"/>
      <c r="AC2" s="250"/>
      <c r="AD2" s="250"/>
      <c r="AE2" s="250"/>
      <c r="AF2" s="250"/>
      <c r="AG2" s="250"/>
      <c r="AH2" s="250"/>
      <c r="AI2" s="250"/>
      <c r="AJ2" s="250"/>
      <c r="AK2" s="250"/>
      <c r="AL2" s="250"/>
      <c r="AM2" s="250"/>
      <c r="AN2" s="250"/>
      <c r="AO2" s="250"/>
      <c r="AP2" s="250"/>
      <c r="AQ2" s="250"/>
      <c r="AR2" s="250"/>
      <c r="AS2" s="250"/>
      <c r="AT2" s="250"/>
      <c r="AU2" s="250"/>
      <c r="AV2" s="250"/>
      <c r="AW2" s="250"/>
      <c r="AX2" s="250"/>
      <c r="AY2" s="250"/>
      <c r="AZ2" s="250"/>
      <c r="BA2" s="250"/>
      <c r="BB2" s="250"/>
      <c r="BC2" s="250"/>
      <c r="BD2" s="250"/>
      <c r="BE2" s="250"/>
      <c r="BF2" s="250"/>
      <c r="BG2" s="250"/>
      <c r="BH2" s="250"/>
      <c r="BI2" s="250"/>
      <c r="BJ2" s="250"/>
      <c r="BK2" s="250"/>
      <c r="BL2" s="250"/>
    </row>
    <row r="3" spans="1:67" s="243" customFormat="1" ht="17.25" customHeight="1" x14ac:dyDescent="0.35">
      <c r="B3" s="251"/>
      <c r="C3" s="252"/>
      <c r="D3" s="253"/>
      <c r="E3" s="253"/>
      <c r="F3" s="253"/>
      <c r="G3" s="254" t="str">
        <f>UPPER(Lists!K3)</f>
        <v>STATISTICAL OFFICE OF THE EUROPEAN UNION</v>
      </c>
      <c r="H3" s="255"/>
      <c r="I3" s="244"/>
      <c r="J3" s="244"/>
      <c r="K3" s="244"/>
      <c r="L3" s="244"/>
      <c r="M3" s="244"/>
      <c r="N3" s="244"/>
      <c r="O3" s="244"/>
      <c r="Q3" s="244"/>
      <c r="R3" s="244"/>
      <c r="S3" s="244"/>
      <c r="T3" s="244"/>
      <c r="U3" s="244"/>
      <c r="V3" s="244"/>
      <c r="W3" s="244"/>
      <c r="X3" s="244"/>
      <c r="Y3" s="244"/>
      <c r="Z3" s="244"/>
      <c r="AA3" s="244"/>
      <c r="AB3" s="244"/>
      <c r="AC3" s="244"/>
      <c r="AD3" s="244"/>
      <c r="AE3" s="244"/>
      <c r="AF3" s="244"/>
      <c r="AG3" s="244"/>
      <c r="AH3" s="244"/>
      <c r="AI3" s="244"/>
      <c r="AJ3" s="244"/>
      <c r="AK3" s="244"/>
      <c r="AL3" s="244"/>
      <c r="AM3" s="244"/>
      <c r="AN3" s="244"/>
      <c r="AO3" s="244"/>
      <c r="AP3" s="244"/>
      <c r="AQ3" s="244"/>
      <c r="AR3" s="244"/>
      <c r="AS3" s="244"/>
      <c r="AT3" s="244"/>
      <c r="AU3" s="244"/>
      <c r="AV3" s="244"/>
      <c r="AW3" s="244"/>
      <c r="AX3" s="244"/>
      <c r="AY3" s="244"/>
      <c r="AZ3" s="244"/>
      <c r="BA3" s="244"/>
      <c r="BB3" s="244"/>
      <c r="BC3" s="244"/>
      <c r="BD3" s="244"/>
      <c r="BE3" s="244"/>
      <c r="BF3" s="244"/>
      <c r="BG3" s="244"/>
      <c r="BH3" s="244"/>
      <c r="BI3" s="244"/>
      <c r="BJ3" s="244"/>
      <c r="BK3" s="244"/>
      <c r="BL3" s="244"/>
    </row>
    <row r="4" spans="1:67" s="243" customFormat="1" ht="22" customHeight="1" x14ac:dyDescent="0.35">
      <c r="B4" s="251"/>
      <c r="C4" s="513" t="str">
        <f>UPPER(Lists!K7)</f>
        <v>BIENNIAL WASTE STATISTICS REGULATION - WASTE TREATMENT</v>
      </c>
      <c r="D4" s="513"/>
      <c r="E4" s="513"/>
      <c r="F4" s="513"/>
      <c r="G4" s="513"/>
      <c r="H4" s="255"/>
      <c r="I4" s="244"/>
      <c r="J4" s="244"/>
      <c r="K4" s="244"/>
      <c r="L4" s="244"/>
      <c r="M4" s="244"/>
      <c r="N4" s="244"/>
      <c r="O4" s="244"/>
      <c r="P4" s="244"/>
      <c r="Q4" s="244"/>
      <c r="R4" s="244"/>
      <c r="S4" s="244"/>
      <c r="T4" s="244"/>
      <c r="U4" s="244"/>
      <c r="V4" s="244"/>
      <c r="W4" s="244"/>
      <c r="X4" s="244"/>
      <c r="Y4" s="244"/>
      <c r="Z4" s="244"/>
      <c r="AA4" s="244"/>
      <c r="AB4" s="244"/>
      <c r="AC4" s="244"/>
      <c r="AD4" s="244"/>
      <c r="AE4" s="244"/>
      <c r="AF4" s="244"/>
      <c r="AG4" s="244"/>
      <c r="AH4" s="244"/>
      <c r="AI4" s="244"/>
      <c r="AJ4" s="244"/>
      <c r="AK4" s="244"/>
      <c r="AL4" s="244"/>
      <c r="AM4" s="244"/>
      <c r="AN4" s="244"/>
      <c r="AO4" s="244"/>
      <c r="AP4" s="244"/>
      <c r="AQ4" s="244"/>
      <c r="AR4" s="244"/>
      <c r="AS4" s="244"/>
      <c r="AT4" s="244"/>
      <c r="AU4" s="244"/>
      <c r="AV4" s="244"/>
      <c r="AW4" s="244"/>
      <c r="AX4" s="244"/>
      <c r="AY4" s="244"/>
      <c r="AZ4" s="244"/>
      <c r="BA4" s="244"/>
      <c r="BB4" s="244"/>
      <c r="BC4" s="244"/>
      <c r="BD4" s="244"/>
      <c r="BE4" s="244"/>
      <c r="BF4" s="244"/>
      <c r="BG4" s="244"/>
      <c r="BH4" s="244"/>
      <c r="BI4" s="244"/>
      <c r="BJ4" s="244"/>
      <c r="BK4" s="244"/>
      <c r="BL4" s="244"/>
      <c r="BM4" s="244"/>
      <c r="BN4" s="244"/>
      <c r="BO4" s="244"/>
    </row>
    <row r="5" spans="1:67" s="243" customFormat="1" ht="22" customHeight="1" x14ac:dyDescent="0.35">
      <c r="B5" s="256"/>
      <c r="C5" s="514" t="str">
        <f>CONCATENATE(Lists!K8," DATA COLLECTION")</f>
        <v>2026 DATA COLLECTION</v>
      </c>
      <c r="D5" s="514"/>
      <c r="E5" s="514"/>
      <c r="F5" s="514"/>
      <c r="G5" s="514"/>
      <c r="H5" s="255"/>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4"/>
      <c r="AI5" s="244"/>
      <c r="AJ5" s="244"/>
      <c r="AK5" s="244"/>
      <c r="AL5" s="244"/>
      <c r="AM5" s="244"/>
      <c r="AN5" s="244"/>
      <c r="AO5" s="244"/>
      <c r="AP5" s="244"/>
      <c r="AQ5" s="244"/>
      <c r="AR5" s="244"/>
      <c r="AS5" s="244"/>
      <c r="AT5" s="244"/>
      <c r="AU5" s="244"/>
      <c r="AV5" s="244"/>
      <c r="AW5" s="244"/>
      <c r="AX5" s="244"/>
      <c r="AY5" s="244"/>
      <c r="AZ5" s="244"/>
      <c r="BA5" s="244"/>
      <c r="BB5" s="244"/>
      <c r="BC5" s="244"/>
      <c r="BD5" s="244"/>
      <c r="BE5" s="244"/>
      <c r="BF5" s="244"/>
      <c r="BG5" s="244"/>
      <c r="BH5" s="244"/>
      <c r="BI5" s="244"/>
      <c r="BJ5" s="244"/>
      <c r="BK5" s="244"/>
      <c r="BL5" s="244"/>
      <c r="BM5" s="244"/>
      <c r="BN5" s="244"/>
      <c r="BO5" s="244"/>
    </row>
    <row r="6" spans="1:67" s="243" customFormat="1" ht="24" customHeight="1" thickBot="1" x14ac:dyDescent="0.4">
      <c r="B6" s="256"/>
      <c r="C6" s="257"/>
      <c r="D6" s="257"/>
      <c r="E6" s="257"/>
      <c r="F6" s="257"/>
      <c r="G6" s="257"/>
      <c r="H6" s="255"/>
      <c r="I6" s="244"/>
      <c r="J6" s="244"/>
      <c r="K6" s="244"/>
      <c r="L6" s="244"/>
      <c r="M6" s="244"/>
      <c r="N6" s="244"/>
      <c r="O6" s="244"/>
      <c r="P6" s="244"/>
      <c r="Q6" s="244"/>
      <c r="R6" s="244"/>
      <c r="S6" s="244"/>
      <c r="T6" s="244"/>
      <c r="U6" s="244"/>
      <c r="V6" s="244"/>
      <c r="W6" s="244"/>
      <c r="X6" s="244"/>
      <c r="Y6" s="244"/>
      <c r="Z6" s="244"/>
      <c r="AA6" s="244"/>
      <c r="AB6" s="244"/>
      <c r="AC6" s="244"/>
      <c r="AD6" s="244"/>
      <c r="AE6" s="244"/>
      <c r="AF6" s="244"/>
      <c r="AG6" s="244"/>
      <c r="AH6" s="244"/>
      <c r="AI6" s="244"/>
      <c r="AJ6" s="244"/>
      <c r="AK6" s="244"/>
      <c r="AL6" s="244"/>
      <c r="AM6" s="244"/>
      <c r="AN6" s="244"/>
      <c r="AO6" s="244"/>
      <c r="AP6" s="244"/>
      <c r="AQ6" s="244"/>
      <c r="AR6" s="244"/>
      <c r="AS6" s="244"/>
      <c r="AT6" s="244"/>
      <c r="AU6" s="244"/>
      <c r="AV6" s="244"/>
      <c r="AW6" s="244"/>
      <c r="AX6" s="244"/>
      <c r="AY6" s="244"/>
      <c r="AZ6" s="244"/>
      <c r="BA6" s="244"/>
      <c r="BB6" s="244"/>
      <c r="BC6" s="244"/>
      <c r="BD6" s="244"/>
      <c r="BE6" s="244"/>
      <c r="BF6" s="244"/>
      <c r="BG6" s="244"/>
      <c r="BH6" s="244"/>
      <c r="BI6" s="244"/>
      <c r="BJ6" s="244"/>
      <c r="BK6" s="244"/>
      <c r="BL6" s="244"/>
      <c r="BM6" s="244"/>
      <c r="BN6" s="244"/>
      <c r="BO6" s="244"/>
    </row>
    <row r="7" spans="1:67" s="243" customFormat="1" ht="39" customHeight="1" thickBot="1" x14ac:dyDescent="0.4">
      <c r="B7" s="258"/>
      <c r="C7" s="515" t="s">
        <v>511</v>
      </c>
      <c r="D7" s="515"/>
      <c r="E7" s="515"/>
      <c r="F7" s="515"/>
      <c r="G7" s="515"/>
      <c r="H7" s="255"/>
      <c r="I7" s="244"/>
      <c r="J7" s="244"/>
      <c r="K7" s="244"/>
      <c r="L7" s="244"/>
      <c r="M7" s="244"/>
      <c r="N7" s="244"/>
      <c r="O7" s="244"/>
      <c r="P7" s="244"/>
      <c r="Q7" s="244"/>
      <c r="R7" s="244"/>
      <c r="S7" s="244"/>
      <c r="T7" s="244"/>
      <c r="U7" s="244"/>
      <c r="V7" s="244"/>
      <c r="W7" s="244"/>
      <c r="X7" s="244"/>
      <c r="Y7" s="244"/>
      <c r="Z7" s="244"/>
      <c r="AA7" s="244"/>
      <c r="AB7" s="244"/>
      <c r="AC7" s="244"/>
      <c r="AD7" s="244"/>
      <c r="AE7" s="244"/>
      <c r="AF7" s="244"/>
      <c r="AG7" s="244"/>
      <c r="AH7" s="244"/>
      <c r="AI7" s="244"/>
      <c r="AJ7" s="244"/>
      <c r="AK7" s="244"/>
      <c r="AL7" s="244"/>
      <c r="AM7" s="244"/>
      <c r="AN7" s="244"/>
      <c r="AO7" s="244"/>
      <c r="AP7" s="244"/>
      <c r="AQ7" s="244"/>
      <c r="AR7" s="244"/>
      <c r="AS7" s="244"/>
      <c r="AT7" s="244"/>
      <c r="AU7" s="244"/>
      <c r="AV7" s="244"/>
      <c r="AW7" s="244"/>
      <c r="AX7" s="244"/>
      <c r="AY7" s="244"/>
      <c r="AZ7" s="244"/>
      <c r="BA7" s="244"/>
      <c r="BB7" s="244"/>
      <c r="BC7" s="244"/>
      <c r="BD7" s="244"/>
      <c r="BE7" s="244"/>
      <c r="BF7" s="244"/>
      <c r="BG7" s="244"/>
      <c r="BH7" s="244"/>
      <c r="BI7" s="244"/>
      <c r="BJ7" s="244"/>
      <c r="BK7" s="244"/>
      <c r="BL7" s="244"/>
      <c r="BM7" s="244"/>
      <c r="BN7" s="244"/>
      <c r="BO7" s="244"/>
    </row>
    <row r="8" spans="1:67" s="243" customFormat="1" ht="14.25" customHeight="1" x14ac:dyDescent="0.35">
      <c r="B8" s="258"/>
      <c r="C8" s="259"/>
      <c r="D8" s="259"/>
      <c r="E8" s="259"/>
      <c r="F8" s="259"/>
      <c r="G8" s="259"/>
      <c r="H8" s="255"/>
      <c r="I8" s="244"/>
      <c r="J8" s="244"/>
      <c r="K8" s="244"/>
      <c r="L8" s="244"/>
      <c r="M8" s="244"/>
      <c r="N8" s="244"/>
      <c r="O8" s="244"/>
      <c r="P8" s="244"/>
      <c r="Q8" s="244"/>
      <c r="R8" s="244"/>
      <c r="S8" s="244"/>
      <c r="T8" s="244"/>
      <c r="U8" s="244"/>
      <c r="V8" s="244"/>
      <c r="W8" s="244"/>
      <c r="X8" s="244"/>
      <c r="Y8" s="244"/>
      <c r="Z8" s="244"/>
      <c r="AA8" s="244"/>
      <c r="AB8" s="244"/>
      <c r="AC8" s="244"/>
      <c r="AD8" s="244"/>
      <c r="AE8" s="244"/>
      <c r="AF8" s="244"/>
      <c r="AG8" s="244"/>
      <c r="AH8" s="244"/>
      <c r="AI8" s="244"/>
      <c r="AJ8" s="244"/>
      <c r="AK8" s="244"/>
      <c r="AL8" s="244"/>
      <c r="AM8" s="244"/>
      <c r="AN8" s="244"/>
      <c r="AO8" s="244"/>
      <c r="AP8" s="244"/>
      <c r="AQ8" s="244"/>
      <c r="AR8" s="244"/>
      <c r="AS8" s="244"/>
      <c r="AT8" s="244"/>
      <c r="AU8" s="244"/>
      <c r="AV8" s="244"/>
      <c r="AW8" s="244"/>
      <c r="AX8" s="244"/>
      <c r="AY8" s="244"/>
      <c r="AZ8" s="244"/>
      <c r="BA8" s="244"/>
      <c r="BB8" s="244"/>
      <c r="BC8" s="244"/>
      <c r="BD8" s="244"/>
      <c r="BE8" s="244"/>
      <c r="BF8" s="244"/>
      <c r="BG8" s="244"/>
      <c r="BH8" s="244"/>
      <c r="BI8" s="244"/>
      <c r="BJ8" s="244"/>
      <c r="BK8" s="244"/>
      <c r="BL8" s="244"/>
      <c r="BM8" s="244"/>
      <c r="BN8" s="244"/>
      <c r="BO8" s="244"/>
    </row>
    <row r="9" spans="1:67" s="267" customFormat="1" ht="18" customHeight="1" x14ac:dyDescent="0.3">
      <c r="A9" s="260"/>
      <c r="B9" s="261"/>
      <c r="C9" s="262" t="s">
        <v>512</v>
      </c>
      <c r="D9" s="262"/>
      <c r="E9" s="263"/>
      <c r="F9" s="264"/>
      <c r="G9" s="265" t="str">
        <f>IF(E9="","",VLOOKUP(E9,Lists!A2:B44,2,FALSE))</f>
        <v/>
      </c>
      <c r="H9" s="266"/>
    </row>
    <row r="10" spans="1:67" s="267" customFormat="1" ht="17.25" customHeight="1" x14ac:dyDescent="0.3">
      <c r="A10" s="268"/>
      <c r="B10" s="269"/>
      <c r="C10" s="262" t="s">
        <v>186</v>
      </c>
      <c r="D10" s="270"/>
      <c r="E10" s="271">
        <v>2024</v>
      </c>
      <c r="F10" s="264"/>
      <c r="G10" s="270"/>
      <c r="H10" s="266"/>
    </row>
    <row r="11" spans="1:67" s="267" customFormat="1" ht="18" customHeight="1" x14ac:dyDescent="0.3">
      <c r="A11" s="260"/>
      <c r="B11" s="261"/>
      <c r="C11" s="272" t="str">
        <f>CONCATENATE("The due date for reporting is ",Lists!K10)</f>
        <v>The due date for reporting is 30 June 2026</v>
      </c>
      <c r="D11" s="272"/>
      <c r="E11" s="273"/>
      <c r="F11" s="272"/>
      <c r="G11" s="274"/>
      <c r="H11" s="266"/>
    </row>
    <row r="12" spans="1:67" s="243" customFormat="1" ht="17.25" customHeight="1" x14ac:dyDescent="0.35">
      <c r="A12" s="275"/>
      <c r="B12" s="276"/>
      <c r="C12" s="516" t="str">
        <f>"Who is the primary contact point for the data collection '" &amp;  Lists!K7&amp;"' in your country?"</f>
        <v>Who is the primary contact point for the data collection 'Biennial Waste Statistics Regulation - Waste Treatment' in your country?</v>
      </c>
      <c r="D12" s="516"/>
      <c r="E12" s="516"/>
      <c r="F12" s="516"/>
      <c r="G12" s="516"/>
      <c r="H12" s="277"/>
    </row>
    <row r="13" spans="1:67" s="267" customFormat="1" ht="5.25" customHeight="1" x14ac:dyDescent="0.3">
      <c r="A13" s="260"/>
      <c r="B13" s="261"/>
      <c r="C13" s="278"/>
      <c r="D13" s="278"/>
      <c r="E13" s="278"/>
      <c r="F13" s="278"/>
      <c r="G13" s="279"/>
      <c r="H13" s="266"/>
    </row>
    <row r="14" spans="1:67" s="267" customFormat="1" ht="14" x14ac:dyDescent="0.3">
      <c r="A14" s="260"/>
      <c r="B14" s="261"/>
      <c r="C14" s="280" t="s">
        <v>188</v>
      </c>
      <c r="D14" s="508"/>
      <c r="E14" s="509"/>
      <c r="F14" s="509"/>
      <c r="G14" s="509"/>
      <c r="H14" s="266"/>
    </row>
    <row r="15" spans="1:67" s="267" customFormat="1" ht="4.5" customHeight="1" x14ac:dyDescent="0.3">
      <c r="A15" s="260"/>
      <c r="B15" s="261"/>
      <c r="C15" s="280"/>
      <c r="D15" s="281"/>
      <c r="E15" s="281"/>
      <c r="F15" s="281"/>
      <c r="G15" s="279"/>
      <c r="H15" s="266"/>
    </row>
    <row r="16" spans="1:67" s="267" customFormat="1" ht="14" x14ac:dyDescent="0.3">
      <c r="A16" s="260"/>
      <c r="B16" s="261"/>
      <c r="C16" s="280" t="s">
        <v>189</v>
      </c>
      <c r="D16" s="517"/>
      <c r="E16" s="509"/>
      <c r="F16" s="509"/>
      <c r="G16" s="509"/>
      <c r="H16" s="266"/>
    </row>
    <row r="17" spans="1:8" s="267" customFormat="1" ht="5.25" customHeight="1" x14ac:dyDescent="0.3">
      <c r="A17" s="260"/>
      <c r="B17" s="261"/>
      <c r="C17" s="280"/>
      <c r="D17" s="281"/>
      <c r="E17" s="281"/>
      <c r="F17" s="281"/>
      <c r="G17" s="279"/>
      <c r="H17" s="266"/>
    </row>
    <row r="18" spans="1:8" s="267" customFormat="1" ht="14" x14ac:dyDescent="0.3">
      <c r="A18" s="260"/>
      <c r="B18" s="261"/>
      <c r="C18" s="280" t="s">
        <v>190</v>
      </c>
      <c r="D18" s="508"/>
      <c r="E18" s="509"/>
      <c r="F18" s="509"/>
      <c r="G18" s="509"/>
      <c r="H18" s="266"/>
    </row>
    <row r="19" spans="1:8" s="267" customFormat="1" ht="3.75" customHeight="1" x14ac:dyDescent="0.3">
      <c r="A19" s="260"/>
      <c r="B19" s="261"/>
      <c r="C19" s="280"/>
      <c r="D19" s="281"/>
      <c r="E19" s="281"/>
      <c r="F19" s="281"/>
      <c r="G19" s="279"/>
      <c r="H19" s="266"/>
    </row>
    <row r="20" spans="1:8" s="267" customFormat="1" ht="14" x14ac:dyDescent="0.3">
      <c r="A20" s="260"/>
      <c r="B20" s="261"/>
      <c r="C20" s="280" t="s">
        <v>191</v>
      </c>
      <c r="D20" s="510"/>
      <c r="E20" s="511"/>
      <c r="F20" s="511"/>
      <c r="G20" s="511"/>
      <c r="H20" s="266"/>
    </row>
    <row r="21" spans="1:8" s="267" customFormat="1" ht="5.25" customHeight="1" x14ac:dyDescent="0.3">
      <c r="A21" s="268"/>
      <c r="B21" s="269"/>
      <c r="C21" s="280"/>
      <c r="D21" s="281"/>
      <c r="E21" s="281"/>
      <c r="F21" s="281"/>
      <c r="G21" s="279"/>
      <c r="H21" s="266"/>
    </row>
    <row r="22" spans="1:8" s="267" customFormat="1" ht="14" x14ac:dyDescent="0.3">
      <c r="A22" s="260"/>
      <c r="B22" s="261"/>
      <c r="C22" s="280" t="s">
        <v>192</v>
      </c>
      <c r="D22" s="508"/>
      <c r="E22" s="509"/>
      <c r="F22" s="509"/>
      <c r="G22" s="509"/>
      <c r="H22" s="266"/>
    </row>
    <row r="23" spans="1:8" s="267" customFormat="1" ht="30" customHeight="1" x14ac:dyDescent="0.3">
      <c r="A23" s="260"/>
      <c r="B23" s="261"/>
      <c r="C23" s="512" t="s">
        <v>193</v>
      </c>
      <c r="D23" s="512"/>
      <c r="E23" s="512"/>
      <c r="F23" s="512"/>
      <c r="G23" s="512"/>
      <c r="H23" s="266"/>
    </row>
    <row r="24" spans="1:8" ht="13" thickBot="1" x14ac:dyDescent="0.3">
      <c r="B24" s="283"/>
      <c r="C24" s="284"/>
      <c r="D24" s="284"/>
      <c r="E24" s="284"/>
      <c r="F24" s="284"/>
      <c r="G24" s="284"/>
      <c r="H24" s="285"/>
    </row>
  </sheetData>
  <sheetProtection algorithmName="SHA-512" hashValue="sheXQG6B1c0+vjk7Rr6kTwRXf0GfIjJWxejVohTyvWHeWlDQM1p8PSZooGmG028bOpzqvrem4rl0N1D6y4LS/g==" saltValue="AomRyqInIaNwsOWJduQOUQ==" spinCount="100000" sheet="1" objects="1" scenarios="1"/>
  <mergeCells count="10">
    <mergeCell ref="D18:G18"/>
    <mergeCell ref="D20:G20"/>
    <mergeCell ref="D22:G22"/>
    <mergeCell ref="C23:G23"/>
    <mergeCell ref="C4:G4"/>
    <mergeCell ref="C5:G5"/>
    <mergeCell ref="C7:G7"/>
    <mergeCell ref="C12:G12"/>
    <mergeCell ref="D14:G14"/>
    <mergeCell ref="D16:G16"/>
  </mergeCells>
  <pageMargins left="0.70866141732283472" right="0.70866141732283472" top="0.74803149606299213" bottom="0.74803149606299213" header="0.31496062992125984" footer="0.31496062992125984"/>
  <pageSetup paperSize="9" scale="60" orientation="portrait" verticalDpi="0" r:id="rId1"/>
  <headerFooter>
    <oddFooter>&amp;L&amp;F&amp;CPage &amp;P of &amp;N &amp;R&amp;A</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Lists!$A$2:$A$43</xm:f>
          </x14:formula1>
          <xm:sqref>E9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9">
    <tabColor rgb="FF79CDC9"/>
    <pageSetUpPr fitToPage="1"/>
  </sheetPr>
  <dimension ref="B1:F59"/>
  <sheetViews>
    <sheetView showGridLines="0" workbookViewId="0">
      <selection activeCell="E9" sqref="E9"/>
    </sheetView>
  </sheetViews>
  <sheetFormatPr defaultColWidth="9.1796875" defaultRowHeight="14" x14ac:dyDescent="0.3"/>
  <cols>
    <col min="1" max="1" width="1.26953125" style="286" customWidth="1"/>
    <col min="2" max="2" width="0.81640625" style="286" customWidth="1"/>
    <col min="3" max="3" width="2.26953125" style="286" customWidth="1"/>
    <col min="4" max="4" width="7.453125" style="235" customWidth="1"/>
    <col min="5" max="5" width="130.81640625" style="286" customWidth="1"/>
    <col min="6" max="6" width="2.26953125" style="286" customWidth="1"/>
    <col min="7" max="16384" width="9.1796875" style="286"/>
  </cols>
  <sheetData>
    <row r="1" spans="2:6" ht="9.75" customHeight="1" thickBot="1" x14ac:dyDescent="0.35"/>
    <row r="2" spans="2:6" ht="40.5" customHeight="1" x14ac:dyDescent="0.35">
      <c r="C2" s="287"/>
      <c r="D2" s="518"/>
      <c r="E2" s="518"/>
      <c r="F2" s="288"/>
    </row>
    <row r="3" spans="2:6" s="289" customFormat="1" ht="19.5" customHeight="1" x14ac:dyDescent="0.3">
      <c r="C3" s="290"/>
      <c r="D3" s="291"/>
      <c r="E3" s="292" t="str">
        <f>UPPER(Lists!K3)</f>
        <v>STATISTICAL OFFICE OF THE EUROPEAN UNION</v>
      </c>
      <c r="F3" s="293"/>
    </row>
    <row r="4" spans="2:6" ht="21.75" customHeight="1" x14ac:dyDescent="0.3">
      <c r="C4" s="294"/>
      <c r="D4" s="519" t="str">
        <f>UPPER(Lists!K7)</f>
        <v>BIENNIAL WASTE STATISTICS REGULATION - WASTE TREATMENT</v>
      </c>
      <c r="E4" s="519"/>
      <c r="F4" s="295"/>
    </row>
    <row r="5" spans="2:6" ht="18" customHeight="1" x14ac:dyDescent="0.3">
      <c r="C5" s="294"/>
      <c r="D5" s="520" t="str">
        <f>CONCATENATE(Lists!K8," DATA COLLECTION")</f>
        <v>2026 DATA COLLECTION</v>
      </c>
      <c r="E5" s="520"/>
      <c r="F5" s="295"/>
    </row>
    <row r="6" spans="2:6" ht="9" customHeight="1" x14ac:dyDescent="0.3">
      <c r="C6" s="294"/>
      <c r="D6" s="296"/>
      <c r="E6" s="296"/>
      <c r="F6" s="295"/>
    </row>
    <row r="7" spans="2:6" ht="35.25" customHeight="1" x14ac:dyDescent="0.3">
      <c r="C7" s="294"/>
      <c r="D7" s="521" t="s">
        <v>513</v>
      </c>
      <c r="E7" s="521"/>
      <c r="F7" s="295"/>
    </row>
    <row r="8" spans="2:6" ht="30.75" customHeight="1" x14ac:dyDescent="0.3">
      <c r="C8" s="294"/>
      <c r="D8" s="522" t="str">
        <f>IF('GETTING STARTED'!E9="","",'GETTING STARTED'!E9)</f>
        <v/>
      </c>
      <c r="E8" s="522"/>
      <c r="F8" s="295"/>
    </row>
    <row r="9" spans="2:6" x14ac:dyDescent="0.3">
      <c r="B9" s="297"/>
      <c r="C9" s="298"/>
      <c r="D9" s="299">
        <v>1</v>
      </c>
      <c r="E9" s="300" t="s">
        <v>514</v>
      </c>
      <c r="F9" s="295"/>
    </row>
    <row r="10" spans="2:6" x14ac:dyDescent="0.3">
      <c r="B10" s="297"/>
      <c r="C10" s="298"/>
      <c r="D10" s="299">
        <v>2</v>
      </c>
      <c r="E10" s="301"/>
      <c r="F10" s="295"/>
    </row>
    <row r="11" spans="2:6" x14ac:dyDescent="0.3">
      <c r="B11" s="297"/>
      <c r="C11" s="298"/>
      <c r="D11" s="302">
        <v>3</v>
      </c>
      <c r="E11" s="301"/>
      <c r="F11" s="295"/>
    </row>
    <row r="12" spans="2:6" x14ac:dyDescent="0.3">
      <c r="B12" s="297"/>
      <c r="C12" s="298"/>
      <c r="D12" s="302">
        <v>4</v>
      </c>
      <c r="E12" s="303"/>
      <c r="F12" s="295"/>
    </row>
    <row r="13" spans="2:6" x14ac:dyDescent="0.3">
      <c r="B13" s="297"/>
      <c r="C13" s="298"/>
      <c r="D13" s="299">
        <v>5</v>
      </c>
      <c r="E13" s="303"/>
      <c r="F13" s="295"/>
    </row>
    <row r="14" spans="2:6" x14ac:dyDescent="0.3">
      <c r="B14" s="297"/>
      <c r="C14" s="298"/>
      <c r="D14" s="299">
        <v>6</v>
      </c>
      <c r="E14" s="303"/>
      <c r="F14" s="295"/>
    </row>
    <row r="15" spans="2:6" x14ac:dyDescent="0.3">
      <c r="B15" s="297"/>
      <c r="C15" s="298"/>
      <c r="D15" s="299">
        <v>7</v>
      </c>
      <c r="E15" s="303"/>
      <c r="F15" s="295"/>
    </row>
    <row r="16" spans="2:6" x14ac:dyDescent="0.3">
      <c r="B16" s="297"/>
      <c r="C16" s="298"/>
      <c r="D16" s="299">
        <v>8</v>
      </c>
      <c r="E16" s="303"/>
      <c r="F16" s="295"/>
    </row>
    <row r="17" spans="2:6" x14ac:dyDescent="0.3">
      <c r="B17" s="297"/>
      <c r="C17" s="298"/>
      <c r="D17" s="299">
        <v>9</v>
      </c>
      <c r="E17" s="303"/>
      <c r="F17" s="295"/>
    </row>
    <row r="18" spans="2:6" x14ac:dyDescent="0.3">
      <c r="B18" s="297"/>
      <c r="C18" s="298"/>
      <c r="D18" s="299">
        <v>10</v>
      </c>
      <c r="E18" s="304"/>
      <c r="F18" s="295"/>
    </row>
    <row r="19" spans="2:6" x14ac:dyDescent="0.3">
      <c r="B19" s="297"/>
      <c r="C19" s="298"/>
      <c r="D19" s="299">
        <v>11</v>
      </c>
      <c r="E19" s="304"/>
      <c r="F19" s="295"/>
    </row>
    <row r="20" spans="2:6" x14ac:dyDescent="0.3">
      <c r="B20" s="297"/>
      <c r="C20" s="298"/>
      <c r="D20" s="299">
        <v>12</v>
      </c>
      <c r="E20" s="304"/>
      <c r="F20" s="295"/>
    </row>
    <row r="21" spans="2:6" x14ac:dyDescent="0.3">
      <c r="B21" s="297"/>
      <c r="C21" s="298"/>
      <c r="D21" s="299">
        <v>13</v>
      </c>
      <c r="E21" s="304"/>
      <c r="F21" s="295"/>
    </row>
    <row r="22" spans="2:6" x14ac:dyDescent="0.3">
      <c r="B22" s="297"/>
      <c r="C22" s="298"/>
      <c r="D22" s="299">
        <v>14</v>
      </c>
      <c r="E22" s="304"/>
      <c r="F22" s="295"/>
    </row>
    <row r="23" spans="2:6" x14ac:dyDescent="0.3">
      <c r="B23" s="297"/>
      <c r="C23" s="298"/>
      <c r="D23" s="299">
        <v>15</v>
      </c>
      <c r="E23" s="304"/>
      <c r="F23" s="295"/>
    </row>
    <row r="24" spans="2:6" x14ac:dyDescent="0.3">
      <c r="B24" s="297"/>
      <c r="C24" s="298"/>
      <c r="D24" s="299">
        <v>16</v>
      </c>
      <c r="E24" s="304"/>
      <c r="F24" s="295"/>
    </row>
    <row r="25" spans="2:6" x14ac:dyDescent="0.3">
      <c r="B25" s="297"/>
      <c r="C25" s="298"/>
      <c r="D25" s="299">
        <v>17</v>
      </c>
      <c r="E25" s="304"/>
      <c r="F25" s="295"/>
    </row>
    <row r="26" spans="2:6" x14ac:dyDescent="0.3">
      <c r="B26" s="297"/>
      <c r="C26" s="298"/>
      <c r="D26" s="299">
        <v>18</v>
      </c>
      <c r="E26" s="304"/>
      <c r="F26" s="295"/>
    </row>
    <row r="27" spans="2:6" x14ac:dyDescent="0.3">
      <c r="B27" s="297"/>
      <c r="C27" s="298"/>
      <c r="D27" s="299">
        <v>19</v>
      </c>
      <c r="E27" s="304"/>
      <c r="F27" s="295"/>
    </row>
    <row r="28" spans="2:6" x14ac:dyDescent="0.3">
      <c r="B28" s="297"/>
      <c r="C28" s="298"/>
      <c r="D28" s="299">
        <v>20</v>
      </c>
      <c r="E28" s="304"/>
      <c r="F28" s="295"/>
    </row>
    <row r="29" spans="2:6" x14ac:dyDescent="0.3">
      <c r="B29" s="297"/>
      <c r="C29" s="298"/>
      <c r="D29" s="299">
        <v>21</v>
      </c>
      <c r="E29" s="304"/>
      <c r="F29" s="295"/>
    </row>
    <row r="30" spans="2:6" x14ac:dyDescent="0.3">
      <c r="B30" s="297"/>
      <c r="C30" s="298"/>
      <c r="D30" s="299">
        <v>22</v>
      </c>
      <c r="E30" s="304"/>
      <c r="F30" s="295"/>
    </row>
    <row r="31" spans="2:6" x14ac:dyDescent="0.3">
      <c r="B31" s="297"/>
      <c r="C31" s="298"/>
      <c r="D31" s="299">
        <v>23</v>
      </c>
      <c r="E31" s="304"/>
      <c r="F31" s="295"/>
    </row>
    <row r="32" spans="2:6" x14ac:dyDescent="0.3">
      <c r="B32" s="297"/>
      <c r="C32" s="298"/>
      <c r="D32" s="299">
        <v>24</v>
      </c>
      <c r="E32" s="304"/>
      <c r="F32" s="295"/>
    </row>
    <row r="33" spans="2:6" x14ac:dyDescent="0.3">
      <c r="B33" s="297"/>
      <c r="C33" s="298"/>
      <c r="D33" s="299">
        <v>25</v>
      </c>
      <c r="E33" s="304"/>
      <c r="F33" s="295"/>
    </row>
    <row r="34" spans="2:6" x14ac:dyDescent="0.3">
      <c r="B34" s="297"/>
      <c r="C34" s="298"/>
      <c r="D34" s="299">
        <v>26</v>
      </c>
      <c r="E34" s="304"/>
      <c r="F34" s="295"/>
    </row>
    <row r="35" spans="2:6" x14ac:dyDescent="0.3">
      <c r="B35" s="297"/>
      <c r="C35" s="298"/>
      <c r="D35" s="299">
        <v>27</v>
      </c>
      <c r="E35" s="304"/>
      <c r="F35" s="295"/>
    </row>
    <row r="36" spans="2:6" x14ac:dyDescent="0.3">
      <c r="B36" s="297"/>
      <c r="C36" s="298"/>
      <c r="D36" s="299">
        <v>28</v>
      </c>
      <c r="E36" s="304"/>
      <c r="F36" s="295"/>
    </row>
    <row r="37" spans="2:6" x14ac:dyDescent="0.3">
      <c r="B37" s="297"/>
      <c r="C37" s="298"/>
      <c r="D37" s="299">
        <v>29</v>
      </c>
      <c r="E37" s="304"/>
      <c r="F37" s="295"/>
    </row>
    <row r="38" spans="2:6" x14ac:dyDescent="0.3">
      <c r="B38" s="297"/>
      <c r="C38" s="298"/>
      <c r="D38" s="299">
        <v>30</v>
      </c>
      <c r="E38" s="304"/>
      <c r="F38" s="295"/>
    </row>
    <row r="39" spans="2:6" x14ac:dyDescent="0.3">
      <c r="B39" s="297"/>
      <c r="C39" s="298"/>
      <c r="D39" s="299">
        <v>31</v>
      </c>
      <c r="E39" s="304"/>
      <c r="F39" s="295"/>
    </row>
    <row r="40" spans="2:6" x14ac:dyDescent="0.3">
      <c r="B40" s="297"/>
      <c r="C40" s="298"/>
      <c r="D40" s="299">
        <v>32</v>
      </c>
      <c r="E40" s="304"/>
      <c r="F40" s="295"/>
    </row>
    <row r="41" spans="2:6" x14ac:dyDescent="0.3">
      <c r="B41" s="297"/>
      <c r="C41" s="298"/>
      <c r="D41" s="299">
        <v>33</v>
      </c>
      <c r="E41" s="304"/>
      <c r="F41" s="295"/>
    </row>
    <row r="42" spans="2:6" x14ac:dyDescent="0.3">
      <c r="B42" s="297"/>
      <c r="C42" s="298"/>
      <c r="D42" s="299">
        <v>34</v>
      </c>
      <c r="E42" s="304"/>
      <c r="F42" s="295"/>
    </row>
    <row r="43" spans="2:6" x14ac:dyDescent="0.3">
      <c r="B43" s="297"/>
      <c r="C43" s="298"/>
      <c r="D43" s="299">
        <v>35</v>
      </c>
      <c r="E43" s="304"/>
      <c r="F43" s="295"/>
    </row>
    <row r="44" spans="2:6" x14ac:dyDescent="0.3">
      <c r="B44" s="297"/>
      <c r="C44" s="298"/>
      <c r="D44" s="299">
        <v>36</v>
      </c>
      <c r="E44" s="304"/>
      <c r="F44" s="295"/>
    </row>
    <row r="45" spans="2:6" x14ac:dyDescent="0.3">
      <c r="B45" s="297"/>
      <c r="C45" s="298"/>
      <c r="D45" s="299">
        <v>37</v>
      </c>
      <c r="E45" s="304"/>
      <c r="F45" s="295"/>
    </row>
    <row r="46" spans="2:6" x14ac:dyDescent="0.3">
      <c r="B46" s="297"/>
      <c r="C46" s="298"/>
      <c r="D46" s="299">
        <v>38</v>
      </c>
      <c r="E46" s="304"/>
      <c r="F46" s="295"/>
    </row>
    <row r="47" spans="2:6" x14ac:dyDescent="0.3">
      <c r="B47" s="297"/>
      <c r="C47" s="298"/>
      <c r="D47" s="299">
        <v>39</v>
      </c>
      <c r="E47" s="304"/>
      <c r="F47" s="295"/>
    </row>
    <row r="48" spans="2:6" x14ac:dyDescent="0.3">
      <c r="B48" s="297"/>
      <c r="C48" s="298"/>
      <c r="D48" s="299">
        <v>40</v>
      </c>
      <c r="E48" s="304"/>
      <c r="F48" s="295"/>
    </row>
    <row r="49" spans="2:6" x14ac:dyDescent="0.3">
      <c r="B49" s="297"/>
      <c r="C49" s="298"/>
      <c r="D49" s="299">
        <v>41</v>
      </c>
      <c r="E49" s="304"/>
      <c r="F49" s="295"/>
    </row>
    <row r="50" spans="2:6" x14ac:dyDescent="0.3">
      <c r="B50" s="297"/>
      <c r="C50" s="298"/>
      <c r="D50" s="299">
        <v>42</v>
      </c>
      <c r="E50" s="304"/>
      <c r="F50" s="295"/>
    </row>
    <row r="51" spans="2:6" x14ac:dyDescent="0.3">
      <c r="B51" s="297"/>
      <c r="C51" s="298"/>
      <c r="D51" s="299">
        <v>43</v>
      </c>
      <c r="E51" s="304"/>
      <c r="F51" s="295"/>
    </row>
    <row r="52" spans="2:6" x14ac:dyDescent="0.3">
      <c r="B52" s="297"/>
      <c r="C52" s="298"/>
      <c r="D52" s="299">
        <v>44</v>
      </c>
      <c r="E52" s="304"/>
      <c r="F52" s="295"/>
    </row>
    <row r="53" spans="2:6" x14ac:dyDescent="0.3">
      <c r="B53" s="297"/>
      <c r="C53" s="298"/>
      <c r="D53" s="299">
        <v>45</v>
      </c>
      <c r="E53" s="304"/>
      <c r="F53" s="295"/>
    </row>
    <row r="54" spans="2:6" x14ac:dyDescent="0.3">
      <c r="B54" s="297"/>
      <c r="C54" s="298"/>
      <c r="D54" s="299">
        <v>46</v>
      </c>
      <c r="E54" s="304"/>
      <c r="F54" s="295"/>
    </row>
    <row r="55" spans="2:6" x14ac:dyDescent="0.3">
      <c r="B55" s="297"/>
      <c r="C55" s="298"/>
      <c r="D55" s="299">
        <v>47</v>
      </c>
      <c r="E55" s="304"/>
      <c r="F55" s="295"/>
    </row>
    <row r="56" spans="2:6" x14ac:dyDescent="0.3">
      <c r="B56" s="297"/>
      <c r="C56" s="298"/>
      <c r="D56" s="299">
        <v>48</v>
      </c>
      <c r="E56" s="304"/>
      <c r="F56" s="295"/>
    </row>
    <row r="57" spans="2:6" x14ac:dyDescent="0.3">
      <c r="B57" s="297"/>
      <c r="C57" s="298"/>
      <c r="D57" s="299">
        <v>49</v>
      </c>
      <c r="E57" s="304"/>
      <c r="F57" s="295"/>
    </row>
    <row r="58" spans="2:6" x14ac:dyDescent="0.3">
      <c r="B58" s="297"/>
      <c r="C58" s="298"/>
      <c r="D58" s="299">
        <v>50</v>
      </c>
      <c r="E58" s="304"/>
      <c r="F58" s="295"/>
    </row>
    <row r="59" spans="2:6" ht="14.5" thickBot="1" x14ac:dyDescent="0.35">
      <c r="C59" s="305"/>
      <c r="D59" s="306"/>
      <c r="E59" s="307"/>
      <c r="F59" s="308"/>
    </row>
  </sheetData>
  <sheetProtection algorithmName="SHA-512" hashValue="oZXQgHsUXT0yicqQq8jmKjX/EYCUiJEHoTmQrTX53FCltvtvNvBgJmVqO6QobOmoWbn8Mz6dEspNkodzQLWH2w==" saltValue="RTg4Vr5W9SvutjSsbn+nRg==" spinCount="100000" sheet="1" objects="1" scenarios="1"/>
  <mergeCells count="5">
    <mergeCell ref="D2:E2"/>
    <mergeCell ref="D4:E4"/>
    <mergeCell ref="D5:E5"/>
    <mergeCell ref="D7:E7"/>
    <mergeCell ref="D8:E8"/>
  </mergeCells>
  <pageMargins left="0.70866141732283472" right="0.70866141732283472" top="0.74803149606299213" bottom="0.74803149606299213" header="0.31496062992125984" footer="0.31496062992125984"/>
  <pageSetup paperSize="9" scale="90" fitToHeight="0" orientation="landscape" verticalDpi="0" r:id="rId1"/>
  <headerFooter>
    <oddFooter>&amp;L&amp;F&amp;CPage &amp;P of &amp;N&amp;R&amp;A</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41AFAA"/>
    <pageSetUpPr fitToPage="1"/>
  </sheetPr>
  <dimension ref="B1:AY136"/>
  <sheetViews>
    <sheetView showGridLines="0" zoomScaleNormal="100" workbookViewId="0">
      <pane xSplit="6" ySplit="7" topLeftCell="G8" activePane="bottomRight" state="frozen"/>
      <selection pane="topRight" activeCell="H1" sqref="H1"/>
      <selection pane="bottomLeft" activeCell="A12" sqref="A12"/>
      <selection pane="bottomRight" activeCell="G8" sqref="G8"/>
    </sheetView>
  </sheetViews>
  <sheetFormatPr defaultColWidth="9.1796875" defaultRowHeight="14.5" x14ac:dyDescent="0.35"/>
  <cols>
    <col min="1" max="1" width="4.7265625" style="40" customWidth="1"/>
    <col min="2" max="2" width="18" style="40" customWidth="1"/>
    <col min="3" max="3" width="18.1796875" style="40" hidden="1" customWidth="1"/>
    <col min="4" max="4" width="44" style="40" customWidth="1"/>
    <col min="5" max="5" width="12.453125" style="40" hidden="1" customWidth="1"/>
    <col min="6" max="6" width="17.453125" style="40" customWidth="1"/>
    <col min="7" max="7" width="15.54296875" style="56" customWidth="1"/>
    <col min="8" max="10" width="3.54296875" style="57" customWidth="1"/>
    <col min="11" max="11" width="10.54296875" style="40" customWidth="1"/>
    <col min="12" max="12" width="15.81640625" style="40" customWidth="1"/>
    <col min="13" max="15" width="3.54296875" style="40" customWidth="1"/>
    <col min="16" max="16" width="10.54296875" style="40" customWidth="1"/>
    <col min="17" max="17" width="15.7265625" style="40" customWidth="1"/>
    <col min="18" max="20" width="3.54296875" style="40" customWidth="1"/>
    <col min="21" max="21" width="10.54296875" style="40" customWidth="1"/>
    <col min="22" max="22" width="15.7265625" style="40" customWidth="1"/>
    <col min="23" max="25" width="3.54296875" style="40" customWidth="1"/>
    <col min="26" max="26" width="10.54296875" style="40" customWidth="1"/>
    <col min="27" max="27" width="15.7265625" style="40" customWidth="1"/>
    <col min="28" max="30" width="3.54296875" style="40" customWidth="1"/>
    <col min="31" max="31" width="10.54296875" style="40" customWidth="1"/>
    <col min="32" max="32" width="15.7265625" style="40" customWidth="1"/>
    <col min="33" max="35" width="3.54296875" style="40" customWidth="1"/>
    <col min="36" max="36" width="10.54296875" style="40" customWidth="1"/>
    <col min="37" max="37" width="15.7265625" style="40" customWidth="1"/>
    <col min="38" max="40" width="3.54296875" style="40" customWidth="1"/>
    <col min="41" max="41" width="10.54296875" style="40" customWidth="1"/>
    <col min="42" max="42" width="15.7265625" style="40" customWidth="1"/>
    <col min="43" max="45" width="3.54296875" style="40" customWidth="1"/>
    <col min="46" max="46" width="10.54296875" style="40" customWidth="1"/>
    <col min="47" max="47" width="15.7265625" style="40" customWidth="1"/>
    <col min="48" max="50" width="3.54296875" style="40" customWidth="1"/>
    <col min="51" max="51" width="10.54296875" style="40" customWidth="1"/>
    <col min="52" max="52" width="5.7265625" style="40" customWidth="1"/>
    <col min="53" max="53" width="15.7265625" style="40" customWidth="1"/>
    <col min="54" max="54" width="5.7265625" style="40" customWidth="1"/>
    <col min="55" max="55" width="15.7265625" style="40" customWidth="1"/>
    <col min="56" max="56" width="5.7265625" style="40" customWidth="1"/>
    <col min="57" max="57" width="15.7265625" style="40" customWidth="1"/>
    <col min="58" max="58" width="5.7265625" style="40" customWidth="1"/>
    <col min="59" max="59" width="15.7265625" style="40" customWidth="1"/>
    <col min="60" max="60" width="5.7265625" style="40" customWidth="1"/>
    <col min="61" max="61" width="15.7265625" style="40" customWidth="1"/>
    <col min="62" max="62" width="5.7265625" style="40" customWidth="1"/>
    <col min="63" max="63" width="15.7265625" style="40" customWidth="1"/>
    <col min="64" max="64" width="5.7265625" style="40" customWidth="1"/>
    <col min="65" max="65" width="15.7265625" style="40" customWidth="1"/>
    <col min="66" max="66" width="5.7265625" style="40" customWidth="1"/>
    <col min="67" max="67" width="15.7265625" style="40" customWidth="1"/>
    <col min="68" max="68" width="5.7265625" style="40" customWidth="1"/>
    <col min="69" max="69" width="15.7265625" style="40" customWidth="1"/>
    <col min="70" max="70" width="5.7265625" style="40" customWidth="1"/>
    <col min="71" max="71" width="15.7265625" style="40" customWidth="1"/>
    <col min="72" max="72" width="5.7265625" style="40" customWidth="1"/>
    <col min="73" max="73" width="15.7265625" style="40" customWidth="1"/>
    <col min="74" max="74" width="5.7265625" style="40" customWidth="1"/>
    <col min="75" max="75" width="15.7265625" style="40" customWidth="1"/>
    <col min="76" max="76" width="5.7265625" style="40" customWidth="1"/>
    <col min="77" max="77" width="15.7265625" style="40" customWidth="1"/>
    <col min="78" max="78" width="5.7265625" style="40" customWidth="1"/>
    <col min="79" max="16384" width="9.1796875" style="40"/>
  </cols>
  <sheetData>
    <row r="1" spans="2:51" s="28" customFormat="1" ht="14" x14ac:dyDescent="0.3">
      <c r="G1" s="29"/>
      <c r="H1" s="30"/>
      <c r="I1" s="30"/>
      <c r="J1" s="30"/>
    </row>
    <row r="2" spans="2:51" s="28" customFormat="1" thickBot="1" x14ac:dyDescent="0.35">
      <c r="G2" s="29"/>
      <c r="H2" s="30"/>
      <c r="I2" s="30"/>
      <c r="J2" s="30"/>
    </row>
    <row r="3" spans="2:51" s="28" customFormat="1" ht="21" thickBot="1" x14ac:dyDescent="0.5">
      <c r="B3" s="31" t="s">
        <v>1</v>
      </c>
      <c r="C3" s="32"/>
      <c r="D3" s="33" t="str">
        <f>IF('GETTING STARTED'!E9="","",'GETTING STARTED'!E9)</f>
        <v/>
      </c>
      <c r="E3" s="34"/>
      <c r="F3" s="75" t="str">
        <f>IF('GETTING STARTED'!G9="","",'GETTING STARTED'!G9)</f>
        <v/>
      </c>
      <c r="G3" s="29"/>
      <c r="H3" s="30"/>
      <c r="I3" s="30"/>
      <c r="J3" s="30"/>
    </row>
    <row r="4" spans="2:51" s="28" customFormat="1" ht="20.5" thickBot="1" x14ac:dyDescent="0.35">
      <c r="B4" s="31" t="s">
        <v>228</v>
      </c>
      <c r="C4" s="32"/>
      <c r="D4" s="33">
        <f>IF('GETTING STARTED'!E10="","",'GETTING STARTED'!E10)</f>
        <v>2024</v>
      </c>
      <c r="E4" s="35"/>
      <c r="F4" s="120"/>
      <c r="G4" s="29"/>
      <c r="H4" s="30"/>
      <c r="I4" s="30"/>
      <c r="J4" s="30"/>
    </row>
    <row r="5" spans="2:51" ht="26.15" customHeight="1" thickBot="1" x14ac:dyDescent="0.4">
      <c r="B5" s="36" t="s">
        <v>229</v>
      </c>
      <c r="C5" s="37"/>
      <c r="D5" s="38" t="s">
        <v>230</v>
      </c>
      <c r="E5" s="39"/>
      <c r="F5" s="121"/>
      <c r="G5" s="523" t="s">
        <v>148</v>
      </c>
      <c r="H5" s="524"/>
      <c r="I5" s="524"/>
      <c r="J5" s="524"/>
      <c r="K5" s="525"/>
      <c r="L5" s="523" t="s">
        <v>153</v>
      </c>
      <c r="M5" s="524"/>
      <c r="N5" s="524"/>
      <c r="O5" s="524"/>
      <c r="P5" s="525"/>
      <c r="Q5" s="523" t="s">
        <v>154</v>
      </c>
      <c r="R5" s="524"/>
      <c r="S5" s="524"/>
      <c r="T5" s="524"/>
      <c r="U5" s="525"/>
      <c r="V5" s="523" t="s">
        <v>149</v>
      </c>
      <c r="W5" s="524"/>
      <c r="X5" s="524"/>
      <c r="Y5" s="524"/>
      <c r="Z5" s="525"/>
      <c r="AA5" s="523" t="s">
        <v>280</v>
      </c>
      <c r="AB5" s="524"/>
      <c r="AC5" s="524"/>
      <c r="AD5" s="524"/>
      <c r="AE5" s="525"/>
      <c r="AF5" s="523" t="s">
        <v>155</v>
      </c>
      <c r="AG5" s="524"/>
      <c r="AH5" s="524"/>
      <c r="AI5" s="524"/>
      <c r="AJ5" s="525"/>
      <c r="AK5" s="523" t="s">
        <v>156</v>
      </c>
      <c r="AL5" s="524"/>
      <c r="AM5" s="524"/>
      <c r="AN5" s="524"/>
      <c r="AO5" s="525"/>
      <c r="AP5" s="523" t="s">
        <v>282</v>
      </c>
      <c r="AQ5" s="524"/>
      <c r="AR5" s="524"/>
      <c r="AS5" s="524"/>
      <c r="AT5" s="525"/>
      <c r="AU5" s="523" t="s">
        <v>150</v>
      </c>
      <c r="AV5" s="524"/>
      <c r="AW5" s="524"/>
      <c r="AX5" s="524"/>
      <c r="AY5" s="525"/>
    </row>
    <row r="6" spans="2:51" s="143" customFormat="1" ht="58" hidden="1" customHeight="1" thickBot="1" x14ac:dyDescent="0.4">
      <c r="B6" s="144"/>
      <c r="C6" s="145"/>
      <c r="D6" s="146"/>
      <c r="E6" s="147"/>
      <c r="F6" s="148"/>
      <c r="G6" s="140" t="s">
        <v>148</v>
      </c>
      <c r="H6" s="141"/>
      <c r="I6" s="141"/>
      <c r="J6" s="141"/>
      <c r="K6" s="141"/>
      <c r="L6" s="141" t="s">
        <v>153</v>
      </c>
      <c r="M6" s="141"/>
      <c r="N6" s="141"/>
      <c r="O6" s="141"/>
      <c r="P6" s="141"/>
      <c r="Q6" s="141" t="s">
        <v>154</v>
      </c>
      <c r="R6" s="141"/>
      <c r="S6" s="141"/>
      <c r="T6" s="141"/>
      <c r="U6" s="141"/>
      <c r="V6" s="141" t="s">
        <v>149</v>
      </c>
      <c r="W6" s="141"/>
      <c r="X6" s="141"/>
      <c r="Y6" s="141"/>
      <c r="Z6" s="141"/>
      <c r="AA6" s="141" t="s">
        <v>280</v>
      </c>
      <c r="AB6" s="141"/>
      <c r="AC6" s="141"/>
      <c r="AD6" s="141"/>
      <c r="AE6" s="141"/>
      <c r="AF6" s="141" t="s">
        <v>155</v>
      </c>
      <c r="AG6" s="141"/>
      <c r="AH6" s="141"/>
      <c r="AI6" s="141"/>
      <c r="AJ6" s="141"/>
      <c r="AK6" s="141" t="s">
        <v>156</v>
      </c>
      <c r="AL6" s="141"/>
      <c r="AM6" s="141"/>
      <c r="AN6" s="141"/>
      <c r="AO6" s="141"/>
      <c r="AP6" s="141" t="s">
        <v>282</v>
      </c>
      <c r="AQ6" s="141"/>
      <c r="AR6" s="141"/>
      <c r="AS6" s="141"/>
      <c r="AT6" s="141"/>
      <c r="AU6" s="141" t="s">
        <v>150</v>
      </c>
      <c r="AV6" s="141"/>
      <c r="AW6" s="141"/>
      <c r="AX6" s="141"/>
      <c r="AY6" s="142"/>
    </row>
    <row r="7" spans="2:51" ht="100" thickBot="1" x14ac:dyDescent="0.4">
      <c r="B7" s="531" t="s">
        <v>294</v>
      </c>
      <c r="C7" s="532"/>
      <c r="D7" s="532"/>
      <c r="E7" s="532"/>
      <c r="F7" s="533"/>
      <c r="G7" s="80" t="s">
        <v>241</v>
      </c>
      <c r="H7" s="82" t="s">
        <v>231</v>
      </c>
      <c r="I7" s="82" t="s">
        <v>232</v>
      </c>
      <c r="J7" s="526" t="s">
        <v>279</v>
      </c>
      <c r="K7" s="527"/>
      <c r="L7" s="80" t="s">
        <v>167</v>
      </c>
      <c r="M7" s="82" t="s">
        <v>231</v>
      </c>
      <c r="N7" s="82" t="s">
        <v>232</v>
      </c>
      <c r="O7" s="526" t="s">
        <v>279</v>
      </c>
      <c r="P7" s="527"/>
      <c r="Q7" s="80" t="s">
        <v>239</v>
      </c>
      <c r="R7" s="82" t="s">
        <v>231</v>
      </c>
      <c r="S7" s="82" t="s">
        <v>232</v>
      </c>
      <c r="T7" s="526" t="s">
        <v>279</v>
      </c>
      <c r="U7" s="527"/>
      <c r="V7" s="80" t="s">
        <v>240</v>
      </c>
      <c r="W7" s="82" t="s">
        <v>231</v>
      </c>
      <c r="X7" s="82" t="s">
        <v>232</v>
      </c>
      <c r="Y7" s="526" t="s">
        <v>279</v>
      </c>
      <c r="Z7" s="527"/>
      <c r="AA7" s="80" t="s">
        <v>281</v>
      </c>
      <c r="AB7" s="82" t="s">
        <v>231</v>
      </c>
      <c r="AC7" s="82" t="s">
        <v>232</v>
      </c>
      <c r="AD7" s="526" t="s">
        <v>279</v>
      </c>
      <c r="AE7" s="527"/>
      <c r="AF7" s="80" t="s">
        <v>166</v>
      </c>
      <c r="AG7" s="82" t="s">
        <v>231</v>
      </c>
      <c r="AH7" s="82" t="s">
        <v>232</v>
      </c>
      <c r="AI7" s="526" t="s">
        <v>279</v>
      </c>
      <c r="AJ7" s="527"/>
      <c r="AK7" s="80" t="s">
        <v>165</v>
      </c>
      <c r="AL7" s="82" t="s">
        <v>231</v>
      </c>
      <c r="AM7" s="82" t="s">
        <v>232</v>
      </c>
      <c r="AN7" s="526" t="s">
        <v>279</v>
      </c>
      <c r="AO7" s="527"/>
      <c r="AP7" s="80" t="s">
        <v>283</v>
      </c>
      <c r="AQ7" s="82" t="s">
        <v>231</v>
      </c>
      <c r="AR7" s="82" t="s">
        <v>232</v>
      </c>
      <c r="AS7" s="526" t="s">
        <v>279</v>
      </c>
      <c r="AT7" s="527"/>
      <c r="AU7" s="80" t="s">
        <v>147</v>
      </c>
      <c r="AV7" s="82" t="s">
        <v>231</v>
      </c>
      <c r="AW7" s="82" t="s">
        <v>232</v>
      </c>
      <c r="AX7" s="526" t="s">
        <v>279</v>
      </c>
      <c r="AY7" s="527"/>
    </row>
    <row r="8" spans="2:51" ht="15" customHeight="1" x14ac:dyDescent="0.35">
      <c r="B8" s="534" t="s">
        <v>110</v>
      </c>
      <c r="C8" s="41" t="s">
        <v>110</v>
      </c>
      <c r="D8" s="528" t="s">
        <v>78</v>
      </c>
      <c r="E8" s="42" t="s">
        <v>144</v>
      </c>
      <c r="F8" s="43" t="s">
        <v>151</v>
      </c>
      <c r="G8" s="372"/>
      <c r="H8" s="373"/>
      <c r="I8" s="374"/>
      <c r="J8" s="375"/>
      <c r="K8" s="376" t="str">
        <f>IF(TRIM(J8)="", "", IF(VLOOKUP(J8,'Footnotes list'!$D$9:$E$58,2,FALSE)=0,"",VLOOKUP(J8,'Footnotes list'!$D$9:$E$58,2,FALSE) ) )</f>
        <v/>
      </c>
      <c r="L8" s="372"/>
      <c r="M8" s="373"/>
      <c r="N8" s="374"/>
      <c r="O8" s="375"/>
      <c r="P8" s="376" t="str">
        <f>IF(TRIM(O8)="", "", IF(VLOOKUP(O8,'Footnotes list'!$D$9:$E$58,2,FALSE)=0,"",VLOOKUP(O8,'Footnotes list'!$D$9:$E$58,2,FALSE) ) )</f>
        <v/>
      </c>
      <c r="Q8" s="372"/>
      <c r="R8" s="373"/>
      <c r="S8" s="374"/>
      <c r="T8" s="375"/>
      <c r="U8" s="376" t="str">
        <f>IF(TRIM(T8)="", "", IF(VLOOKUP(T8,'Footnotes list'!$D$9:$E$58,2,FALSE)=0,"",VLOOKUP(T8,'Footnotes list'!$D$9:$E$58,2,FALSE) ) )</f>
        <v/>
      </c>
      <c r="V8" s="372"/>
      <c r="W8" s="373"/>
      <c r="X8" s="374"/>
      <c r="Y8" s="375"/>
      <c r="Z8" s="376" t="str">
        <f>IF(TRIM(Y8)="", "", IF(VLOOKUP(Y8,'Footnotes list'!$D$9:$E$58,2,FALSE)=0,"",VLOOKUP(Y8,'Footnotes list'!$D$9:$E$58,2,FALSE) ) )</f>
        <v/>
      </c>
      <c r="AA8" s="382" t="str">
        <f>IF(AND(TRIM(Q8)="",TRIM(V8)=""),"",Q8+V8)</f>
        <v/>
      </c>
      <c r="AB8" s="373"/>
      <c r="AC8" s="374"/>
      <c r="AD8" s="375"/>
      <c r="AE8" s="376" t="str">
        <f>IF(TRIM(AD8)="", "", IF(VLOOKUP(AD8,'Footnotes list'!$D$9:$E$58,2,FALSE)=0,"",VLOOKUP(AD8,'Footnotes list'!$D$9:$E$58,2,FALSE) ) )</f>
        <v/>
      </c>
      <c r="AF8" s="372"/>
      <c r="AG8" s="373"/>
      <c r="AH8" s="374"/>
      <c r="AI8" s="375"/>
      <c r="AJ8" s="376" t="str">
        <f>IF(TRIM(AI8)="", "", IF(VLOOKUP(AI8,'Footnotes list'!$D$9:$E$58,2,FALSE)=0,"",VLOOKUP(AI8,'Footnotes list'!$D$9:$E$58,2,FALSE) ) )</f>
        <v/>
      </c>
      <c r="AK8" s="372"/>
      <c r="AL8" s="373"/>
      <c r="AM8" s="374"/>
      <c r="AN8" s="375"/>
      <c r="AO8" s="376" t="str">
        <f>IF(TRIM(AN8)="", "", IF(VLOOKUP(AN8,'Footnotes list'!$D$9:$E$58,2,FALSE)=0,"",VLOOKUP(AN8,'Footnotes list'!$D$9:$E$58,2,FALSE) ) )</f>
        <v/>
      </c>
      <c r="AP8" s="382" t="str">
        <f>IF(AND(TRIM(AF8)="",TRIM(AK8)=""),"",AF8+AK8)</f>
        <v/>
      </c>
      <c r="AQ8" s="373"/>
      <c r="AR8" s="374"/>
      <c r="AS8" s="375"/>
      <c r="AT8" s="376" t="str">
        <f>IF(TRIM(AS8)="", "", IF(VLOOKUP(AS8,'Footnotes list'!$D$9:$E$58,2,FALSE)=0,"",VLOOKUP(AS8,'Footnotes list'!$D$9:$E$58,2,FALSE) ) )</f>
        <v/>
      </c>
      <c r="AU8" s="382" t="str">
        <f>IF(AND(TRIM(G8)="",TRIM(L8)="",TRIM(AA8)="",TRIM(AP8)=""),"",SUM(G8,L8,AA8,AP8))</f>
        <v/>
      </c>
      <c r="AV8" s="373"/>
      <c r="AW8" s="374"/>
      <c r="AX8" s="375"/>
      <c r="AY8" s="376" t="str">
        <f>IF(TRIM(AX8)="", "", IF(VLOOKUP(AX8,'Footnotes list'!$D$9:$E$58,2,FALSE)=0,"",VLOOKUP(AX8,'Footnotes list'!$D$9:$E$58,2,FALSE) ) )</f>
        <v/>
      </c>
    </row>
    <row r="9" spans="2:51" ht="15" customHeight="1" x14ac:dyDescent="0.35">
      <c r="B9" s="535"/>
      <c r="C9" s="44"/>
      <c r="D9" s="529"/>
      <c r="E9" s="44"/>
      <c r="F9" s="45" t="s">
        <v>233</v>
      </c>
      <c r="G9" s="383"/>
      <c r="H9" s="384"/>
      <c r="I9" s="384"/>
      <c r="J9" s="384"/>
      <c r="K9" s="385"/>
      <c r="L9" s="383"/>
      <c r="M9" s="384"/>
      <c r="N9" s="384"/>
      <c r="O9" s="384"/>
      <c r="P9" s="385"/>
      <c r="Q9" s="383"/>
      <c r="R9" s="384"/>
      <c r="S9" s="384"/>
      <c r="T9" s="384"/>
      <c r="U9" s="385"/>
      <c r="V9" s="383"/>
      <c r="W9" s="384"/>
      <c r="X9" s="384"/>
      <c r="Y9" s="384"/>
      <c r="Z9" s="385"/>
      <c r="AA9" s="383"/>
      <c r="AB9" s="384"/>
      <c r="AC9" s="384"/>
      <c r="AD9" s="384"/>
      <c r="AE9" s="385"/>
      <c r="AF9" s="383"/>
      <c r="AG9" s="384"/>
      <c r="AH9" s="384"/>
      <c r="AI9" s="384"/>
      <c r="AJ9" s="385"/>
      <c r="AK9" s="383"/>
      <c r="AL9" s="384"/>
      <c r="AM9" s="384"/>
      <c r="AN9" s="384"/>
      <c r="AO9" s="385"/>
      <c r="AP9" s="383"/>
      <c r="AQ9" s="384"/>
      <c r="AR9" s="384"/>
      <c r="AS9" s="384"/>
      <c r="AT9" s="385"/>
      <c r="AU9" s="383"/>
      <c r="AV9" s="384"/>
      <c r="AW9" s="384"/>
      <c r="AX9" s="384"/>
      <c r="AY9" s="385"/>
    </row>
    <row r="10" spans="2:51" s="49" customFormat="1" ht="15" customHeight="1" thickBot="1" x14ac:dyDescent="0.4">
      <c r="B10" s="536"/>
      <c r="C10" s="46" t="s">
        <v>110</v>
      </c>
      <c r="D10" s="530"/>
      <c r="E10" s="47" t="s">
        <v>146</v>
      </c>
      <c r="F10" s="48" t="s">
        <v>234</v>
      </c>
      <c r="G10" s="126" t="str">
        <f>IF(AND(TRIM(G8)="",TRIM(G9)=""),"",G8+G9)</f>
        <v/>
      </c>
      <c r="H10" s="379"/>
      <c r="I10" s="380"/>
      <c r="J10" s="381"/>
      <c r="K10" s="377" t="str">
        <f>IF(TRIM(J10)="", "", IF(VLOOKUP(J10,'Footnotes list'!$D$9:$E$58,2,FALSE)=0,"",VLOOKUP(J10,'Footnotes list'!$D$9:$E$58,2,FALSE) ) )</f>
        <v/>
      </c>
      <c r="L10" s="126" t="str">
        <f>IF(AND(TRIM(L8)="",TRIM(L9)=""),"",L8+L9)</f>
        <v/>
      </c>
      <c r="M10" s="379"/>
      <c r="N10" s="380"/>
      <c r="O10" s="381"/>
      <c r="P10" s="377" t="str">
        <f>IF(TRIM(O10)="", "", IF(VLOOKUP(O10,'Footnotes list'!$D$9:$E$58,2,FALSE)=0,"",VLOOKUP(O10,'Footnotes list'!$D$9:$E$58,2,FALSE) ) )</f>
        <v/>
      </c>
      <c r="Q10" s="126" t="str">
        <f>IF(AND(TRIM(Q8)="",TRIM(Q9)=""),"",Q8+Q9)</f>
        <v/>
      </c>
      <c r="R10" s="379"/>
      <c r="S10" s="380"/>
      <c r="T10" s="381"/>
      <c r="U10" s="377" t="str">
        <f>IF(TRIM(T10)="", "", IF(VLOOKUP(T10,'Footnotes list'!$D$9:$E$58,2,FALSE)=0,"",VLOOKUP(T10,'Footnotes list'!$D$9:$E$58,2,FALSE) ) )</f>
        <v/>
      </c>
      <c r="V10" s="126" t="str">
        <f>IF(AND(TRIM(V8)="",TRIM(V9)=""),"",V8+V9)</f>
        <v/>
      </c>
      <c r="W10" s="379"/>
      <c r="X10" s="380"/>
      <c r="Y10" s="381"/>
      <c r="Z10" s="377" t="str">
        <f>IF(TRIM(Y10)="", "", IF(VLOOKUP(Y10,'Footnotes list'!$D$9:$E$58,2,FALSE)=0,"",VLOOKUP(Y10,'Footnotes list'!$D$9:$E$58,2,FALSE) ) )</f>
        <v/>
      </c>
      <c r="AA10" s="126" t="str">
        <f>IF(AND(TRIM(AA8)="", TRIM(AA9)=""), "", SUM(AA8,AA9))</f>
        <v/>
      </c>
      <c r="AB10" s="379"/>
      <c r="AC10" s="380"/>
      <c r="AD10" s="381"/>
      <c r="AE10" s="377" t="str">
        <f>IF(TRIM(AD10)="", "", IF(VLOOKUP(AD10,'Footnotes list'!$D$9:$E$58,2,FALSE)=0,"",VLOOKUP(AD10,'Footnotes list'!$D$9:$E$58,2,FALSE) ) )</f>
        <v/>
      </c>
      <c r="AF10" s="126" t="str">
        <f>IF(AND(TRIM(AF8)="",TRIM(AF9)=""),"",AF8+AF9)</f>
        <v/>
      </c>
      <c r="AG10" s="379"/>
      <c r="AH10" s="380"/>
      <c r="AI10" s="381"/>
      <c r="AJ10" s="377" t="str">
        <f>IF(TRIM(AI10)="", "", IF(VLOOKUP(AI10,'Footnotes list'!$D$9:$E$58,2,FALSE)=0,"",VLOOKUP(AI10,'Footnotes list'!$D$9:$E$58,2,FALSE) ) )</f>
        <v/>
      </c>
      <c r="AK10" s="126" t="str">
        <f>IF(AND(TRIM(AK8)="",TRIM(AK9)=""),"",AK8+AK9)</f>
        <v/>
      </c>
      <c r="AL10" s="379"/>
      <c r="AM10" s="380"/>
      <c r="AN10" s="381"/>
      <c r="AO10" s="377" t="str">
        <f>IF(TRIM(AN10)="", "", IF(VLOOKUP(AN10,'Footnotes list'!$D$9:$E$58,2,FALSE)=0,"",VLOOKUP(AN10,'Footnotes list'!$D$9:$E$58,2,FALSE) ) )</f>
        <v/>
      </c>
      <c r="AP10" s="126" t="str">
        <f>IF(AND(TRIM(AP8)="", TRIM(AP9)=""), "", SUM(AP8,AP9))</f>
        <v/>
      </c>
      <c r="AQ10" s="379"/>
      <c r="AR10" s="380"/>
      <c r="AS10" s="381"/>
      <c r="AT10" s="377" t="str">
        <f>IF(TRIM(AS10)="", "", IF(VLOOKUP(AS10,'Footnotes list'!$D$9:$E$58,2,FALSE)=0,"",VLOOKUP(AS10,'Footnotes list'!$D$9:$E$58,2,FALSE) ) )</f>
        <v/>
      </c>
      <c r="AU10" s="126" t="str">
        <f>IF(AND(TRIM(AU8)="", TRIM(AU9)=""), "", SUM(AU8,AU9) )</f>
        <v/>
      </c>
      <c r="AV10" s="379"/>
      <c r="AW10" s="380"/>
      <c r="AX10" s="381"/>
      <c r="AY10" s="377" t="str">
        <f>IF(TRIM(AX10)="", "", IF(VLOOKUP(AX10,'Footnotes list'!$D$9:$E$58,2,FALSE)=0,"",VLOOKUP(AX10,'Footnotes list'!$D$9:$E$58,2,FALSE) ) )</f>
        <v/>
      </c>
    </row>
    <row r="11" spans="2:51" ht="15" customHeight="1" x14ac:dyDescent="0.35">
      <c r="B11" s="534" t="s">
        <v>111</v>
      </c>
      <c r="C11" s="41" t="s">
        <v>111</v>
      </c>
      <c r="D11" s="528" t="s">
        <v>79</v>
      </c>
      <c r="E11" s="42" t="s">
        <v>144</v>
      </c>
      <c r="F11" s="43" t="s">
        <v>151</v>
      </c>
      <c r="G11" s="372"/>
      <c r="H11" s="373"/>
      <c r="I11" s="374"/>
      <c r="J11" s="375"/>
      <c r="K11" s="376" t="str">
        <f>IF(TRIM(J11)="", "", IF(VLOOKUP(J11,'Footnotes list'!$D$9:$E$58,2,FALSE)=0,"",VLOOKUP(J11,'Footnotes list'!$D$9:$E$58,2,FALSE) ) )</f>
        <v/>
      </c>
      <c r="L11" s="372"/>
      <c r="M11" s="373"/>
      <c r="N11" s="374"/>
      <c r="O11" s="375"/>
      <c r="P11" s="376" t="str">
        <f>IF(TRIM(O11)="", "", IF(VLOOKUP(O11,'Footnotes list'!$D$9:$E$58,2,FALSE)=0,"",VLOOKUP(O11,'Footnotes list'!$D$9:$E$58,2,FALSE) ) )</f>
        <v/>
      </c>
      <c r="Q11" s="372"/>
      <c r="R11" s="373"/>
      <c r="S11" s="374"/>
      <c r="T11" s="375"/>
      <c r="U11" s="376" t="str">
        <f>IF(TRIM(T11)="", "", IF(VLOOKUP(T11,'Footnotes list'!$D$9:$E$58,2,FALSE)=0,"",VLOOKUP(T11,'Footnotes list'!$D$9:$E$58,2,FALSE) ) )</f>
        <v/>
      </c>
      <c r="V11" s="372"/>
      <c r="W11" s="373"/>
      <c r="X11" s="374"/>
      <c r="Y11" s="375"/>
      <c r="Z11" s="376" t="str">
        <f>IF(TRIM(Y11)="", "", IF(VLOOKUP(Y11,'Footnotes list'!$D$9:$E$58,2,FALSE)=0,"",VLOOKUP(Y11,'Footnotes list'!$D$9:$E$58,2,FALSE) ) )</f>
        <v/>
      </c>
      <c r="AA11" s="382" t="str">
        <f>IF(AND(TRIM(Q11)="",TRIM(V11)=""),"",Q11+V11)</f>
        <v/>
      </c>
      <c r="AB11" s="373"/>
      <c r="AC11" s="374"/>
      <c r="AD11" s="375"/>
      <c r="AE11" s="376" t="str">
        <f>IF(TRIM(AD11)="", "", IF(VLOOKUP(AD11,'Footnotes list'!$D$9:$E$58,2,FALSE)=0,"",VLOOKUP(AD11,'Footnotes list'!$D$9:$E$58,2,FALSE) ) )</f>
        <v/>
      </c>
      <c r="AF11" s="372"/>
      <c r="AG11" s="373"/>
      <c r="AH11" s="374"/>
      <c r="AI11" s="375"/>
      <c r="AJ11" s="376" t="str">
        <f>IF(TRIM(AI11)="", "", IF(VLOOKUP(AI11,'Footnotes list'!$D$9:$E$58,2,FALSE)=0,"",VLOOKUP(AI11,'Footnotes list'!$D$9:$E$58,2,FALSE) ) )</f>
        <v/>
      </c>
      <c r="AK11" s="372"/>
      <c r="AL11" s="373"/>
      <c r="AM11" s="374"/>
      <c r="AN11" s="375"/>
      <c r="AO11" s="376" t="str">
        <f>IF(TRIM(AN11)="", "", IF(VLOOKUP(AN11,'Footnotes list'!$D$9:$E$58,2,FALSE)=0,"",VLOOKUP(AN11,'Footnotes list'!$D$9:$E$58,2,FALSE) ) )</f>
        <v/>
      </c>
      <c r="AP11" s="382" t="str">
        <f>IF(AND(TRIM(AF11)="",TRIM(AK11)=""),"",AF11+AK11)</f>
        <v/>
      </c>
      <c r="AQ11" s="373"/>
      <c r="AR11" s="374"/>
      <c r="AS11" s="375"/>
      <c r="AT11" s="376" t="str">
        <f>IF(TRIM(AS11)="", "", IF(VLOOKUP(AS11,'Footnotes list'!$D$9:$E$58,2,FALSE)=0,"",VLOOKUP(AS11,'Footnotes list'!$D$9:$E$58,2,FALSE) ) )</f>
        <v/>
      </c>
      <c r="AU11" s="382" t="str">
        <f>IF(AND(TRIM(G11)="",TRIM(L11)="",TRIM(AA11)="",TRIM(AP11)=""),"",SUM(G11,L11,AA11,AP11))</f>
        <v/>
      </c>
      <c r="AV11" s="373"/>
      <c r="AW11" s="374"/>
      <c r="AX11" s="375"/>
      <c r="AY11" s="376" t="str">
        <f>IF(TRIM(AX11)="", "", IF(VLOOKUP(AX11,'Footnotes list'!$D$9:$E$58,2,FALSE)=0,"",VLOOKUP(AX11,'Footnotes list'!$D$9:$E$58,2,FALSE) ) )</f>
        <v/>
      </c>
    </row>
    <row r="12" spans="2:51" ht="15" customHeight="1" x14ac:dyDescent="0.35">
      <c r="B12" s="535"/>
      <c r="C12" s="50" t="s">
        <v>111</v>
      </c>
      <c r="D12" s="529"/>
      <c r="E12" s="51" t="s">
        <v>145</v>
      </c>
      <c r="F12" s="52" t="s">
        <v>152</v>
      </c>
      <c r="G12" s="378"/>
      <c r="H12" s="379"/>
      <c r="I12" s="380"/>
      <c r="J12" s="381"/>
      <c r="K12" s="377" t="str">
        <f>IF(TRIM(J12)="", "", IF(VLOOKUP(J12,'Footnotes list'!$D$9:$E$58,2,FALSE)=0,"",VLOOKUP(J12,'Footnotes list'!$D$9:$E$58,2,FALSE) ) )</f>
        <v/>
      </c>
      <c r="L12" s="378"/>
      <c r="M12" s="379"/>
      <c r="N12" s="380"/>
      <c r="O12" s="381"/>
      <c r="P12" s="377" t="str">
        <f>IF(TRIM(O12)="", "", IF(VLOOKUP(O12,'Footnotes list'!$D$9:$E$58,2,FALSE)=0,"",VLOOKUP(O12,'Footnotes list'!$D$9:$E$58,2,FALSE) ) )</f>
        <v/>
      </c>
      <c r="Q12" s="378"/>
      <c r="R12" s="379"/>
      <c r="S12" s="380"/>
      <c r="T12" s="381"/>
      <c r="U12" s="377" t="str">
        <f>IF(TRIM(T12)="", "", IF(VLOOKUP(T12,'Footnotes list'!$D$9:$E$58,2,FALSE)=0,"",VLOOKUP(T12,'Footnotes list'!$D$9:$E$58,2,FALSE) ) )</f>
        <v/>
      </c>
      <c r="V12" s="378"/>
      <c r="W12" s="379"/>
      <c r="X12" s="380"/>
      <c r="Y12" s="381"/>
      <c r="Z12" s="377" t="str">
        <f>IF(TRIM(Y12)="", "", IF(VLOOKUP(Y12,'Footnotes list'!$D$9:$E$58,2,FALSE)=0,"",VLOOKUP(Y12,'Footnotes list'!$D$9:$E$58,2,FALSE) ) )</f>
        <v/>
      </c>
      <c r="AA12" s="129" t="str">
        <f>IF(AND(TRIM(Q12)="",TRIM(V12)=""),"",Q12+V12)</f>
        <v/>
      </c>
      <c r="AB12" s="379"/>
      <c r="AC12" s="380"/>
      <c r="AD12" s="381"/>
      <c r="AE12" s="377" t="str">
        <f>IF(TRIM(AD12)="", "", IF(VLOOKUP(AD12,'Footnotes list'!$D$9:$E$58,2,FALSE)=0,"",VLOOKUP(AD12,'Footnotes list'!$D$9:$E$58,2,FALSE) ) )</f>
        <v/>
      </c>
      <c r="AF12" s="378"/>
      <c r="AG12" s="379"/>
      <c r="AH12" s="380"/>
      <c r="AI12" s="381"/>
      <c r="AJ12" s="377" t="str">
        <f>IF(TRIM(AI12)="", "", IF(VLOOKUP(AI12,'Footnotes list'!$D$9:$E$58,2,FALSE)=0,"",VLOOKUP(AI12,'Footnotes list'!$D$9:$E$58,2,FALSE) ) )</f>
        <v/>
      </c>
      <c r="AK12" s="378"/>
      <c r="AL12" s="379"/>
      <c r="AM12" s="380"/>
      <c r="AN12" s="381"/>
      <c r="AO12" s="377" t="str">
        <f>IF(TRIM(AN12)="", "", IF(VLOOKUP(AN12,'Footnotes list'!$D$9:$E$58,2,FALSE)=0,"",VLOOKUP(AN12,'Footnotes list'!$D$9:$E$58,2,FALSE) ) )</f>
        <v/>
      </c>
      <c r="AP12" s="129" t="str">
        <f>IF(AND(TRIM(AF12)="",TRIM(AK12)=""),"",AF12+AK12)</f>
        <v/>
      </c>
      <c r="AQ12" s="379"/>
      <c r="AR12" s="380"/>
      <c r="AS12" s="381"/>
      <c r="AT12" s="377" t="str">
        <f>IF(TRIM(AS12)="", "", IF(VLOOKUP(AS12,'Footnotes list'!$D$9:$E$58,2,FALSE)=0,"",VLOOKUP(AS12,'Footnotes list'!$D$9:$E$58,2,FALSE) ) )</f>
        <v/>
      </c>
      <c r="AU12" s="403" t="str">
        <f>IF(AND(TRIM(G12)="",TRIM(L12)="",TRIM(AA12)="",TRIM(AP12)=""),"",SUM(G12,L12,AA12,AP12))</f>
        <v/>
      </c>
      <c r="AV12" s="379"/>
      <c r="AW12" s="380"/>
      <c r="AX12" s="381"/>
      <c r="AY12" s="377" t="str">
        <f>IF(TRIM(AX12)="", "", IF(VLOOKUP(AX12,'Footnotes list'!$D$9:$E$58,2,FALSE)=0,"",VLOOKUP(AX12,'Footnotes list'!$D$9:$E$58,2,FALSE) ) )</f>
        <v/>
      </c>
    </row>
    <row r="13" spans="2:51" ht="15" customHeight="1" thickBot="1" x14ac:dyDescent="0.4">
      <c r="B13" s="536"/>
      <c r="C13" s="53" t="s">
        <v>111</v>
      </c>
      <c r="D13" s="530"/>
      <c r="E13" s="47" t="s">
        <v>146</v>
      </c>
      <c r="F13" s="54" t="s">
        <v>234</v>
      </c>
      <c r="G13" s="126" t="str">
        <f>IF(AND(TRIM(G11)="",TRIM(G12)=""),"",G11+G12)</f>
        <v/>
      </c>
      <c r="H13" s="379"/>
      <c r="I13" s="380"/>
      <c r="J13" s="381"/>
      <c r="K13" s="377" t="str">
        <f>IF(TRIM(J13)="", "", IF(VLOOKUP(J13,'Footnotes list'!$D$9:$E$58,2,FALSE)=0,"",VLOOKUP(J13,'Footnotes list'!$D$9:$E$58,2,FALSE) ) )</f>
        <v/>
      </c>
      <c r="L13" s="126" t="str">
        <f>IF(AND(TRIM(L11)="",TRIM(L12)=""),"",L11+L12)</f>
        <v/>
      </c>
      <c r="M13" s="379"/>
      <c r="N13" s="380"/>
      <c r="O13" s="381"/>
      <c r="P13" s="377" t="str">
        <f>IF(TRIM(O13)="", "", IF(VLOOKUP(O13,'Footnotes list'!$D$9:$E$58,2,FALSE)=0,"",VLOOKUP(O13,'Footnotes list'!$D$9:$E$58,2,FALSE) ) )</f>
        <v/>
      </c>
      <c r="Q13" s="126" t="str">
        <f>IF(AND(TRIM(Q11)="",TRIM(Q12)=""),"",Q11+Q12)</f>
        <v/>
      </c>
      <c r="R13" s="379"/>
      <c r="S13" s="380"/>
      <c r="T13" s="381"/>
      <c r="U13" s="377" t="str">
        <f>IF(TRIM(T13)="", "", IF(VLOOKUP(T13,'Footnotes list'!$D$9:$E$58,2,FALSE)=0,"",VLOOKUP(T13,'Footnotes list'!$D$9:$E$58,2,FALSE) ) )</f>
        <v/>
      </c>
      <c r="V13" s="126" t="str">
        <f>IF(AND(TRIM(V11)="",TRIM(V12)=""),"",V11+V12)</f>
        <v/>
      </c>
      <c r="W13" s="379"/>
      <c r="X13" s="380"/>
      <c r="Y13" s="381"/>
      <c r="Z13" s="377" t="str">
        <f>IF(TRIM(Y13)="", "", IF(VLOOKUP(Y13,'Footnotes list'!$D$9:$E$58,2,FALSE)=0,"",VLOOKUP(Y13,'Footnotes list'!$D$9:$E$58,2,FALSE) ) )</f>
        <v/>
      </c>
      <c r="AA13" s="126" t="str">
        <f>IF(AND(TRIM(AA11)="", TRIM(AA12)=""), "", SUM(AA11,AA12))</f>
        <v/>
      </c>
      <c r="AB13" s="379"/>
      <c r="AC13" s="380"/>
      <c r="AD13" s="381"/>
      <c r="AE13" s="377" t="str">
        <f>IF(TRIM(AD13)="", "", IF(VLOOKUP(AD13,'Footnotes list'!$D$9:$E$58,2,FALSE)=0,"",VLOOKUP(AD13,'Footnotes list'!$D$9:$E$58,2,FALSE) ) )</f>
        <v/>
      </c>
      <c r="AF13" s="126" t="str">
        <f>IF(AND(TRIM(AF11)="",TRIM(AF12)=""),"",AF11+AF12)</f>
        <v/>
      </c>
      <c r="AG13" s="379"/>
      <c r="AH13" s="380"/>
      <c r="AI13" s="381"/>
      <c r="AJ13" s="377" t="str">
        <f>IF(TRIM(AI13)="", "", IF(VLOOKUP(AI13,'Footnotes list'!$D$9:$E$58,2,FALSE)=0,"",VLOOKUP(AI13,'Footnotes list'!$D$9:$E$58,2,FALSE) ) )</f>
        <v/>
      </c>
      <c r="AK13" s="126" t="str">
        <f>IF(AND(TRIM(AK11)="",TRIM(AK12)=""),"",AK11+AK12)</f>
        <v/>
      </c>
      <c r="AL13" s="379"/>
      <c r="AM13" s="380"/>
      <c r="AN13" s="381"/>
      <c r="AO13" s="377" t="str">
        <f>IF(TRIM(AN13)="", "", IF(VLOOKUP(AN13,'Footnotes list'!$D$9:$E$58,2,FALSE)=0,"",VLOOKUP(AN13,'Footnotes list'!$D$9:$E$58,2,FALSE) ) )</f>
        <v/>
      </c>
      <c r="AP13" s="126" t="str">
        <f>IF(AND(TRIM(AP11)="", TRIM(AP12)=""), "", SUM(AP11,AP12))</f>
        <v/>
      </c>
      <c r="AQ13" s="379"/>
      <c r="AR13" s="380"/>
      <c r="AS13" s="381"/>
      <c r="AT13" s="377" t="str">
        <f>IF(TRIM(AS13)="", "", IF(VLOOKUP(AS13,'Footnotes list'!$D$9:$E$58,2,FALSE)=0,"",VLOOKUP(AS13,'Footnotes list'!$D$9:$E$58,2,FALSE) ) )</f>
        <v/>
      </c>
      <c r="AU13" s="126" t="str">
        <f>IF(AND(TRIM(AU11)="", TRIM(AU12)=""), "", SUM(AU11,AU12) )</f>
        <v/>
      </c>
      <c r="AV13" s="379"/>
      <c r="AW13" s="380"/>
      <c r="AX13" s="381"/>
      <c r="AY13" s="377" t="str">
        <f>IF(TRIM(AX13)="", "", IF(VLOOKUP(AX13,'Footnotes list'!$D$9:$E$58,2,FALSE)=0,"",VLOOKUP(AX13,'Footnotes list'!$D$9:$E$58,2,FALSE) ) )</f>
        <v/>
      </c>
    </row>
    <row r="14" spans="2:51" ht="15" customHeight="1" x14ac:dyDescent="0.35">
      <c r="B14" s="534" t="s">
        <v>112</v>
      </c>
      <c r="C14" s="41" t="s">
        <v>112</v>
      </c>
      <c r="D14" s="528" t="s">
        <v>80</v>
      </c>
      <c r="E14" s="42" t="s">
        <v>144</v>
      </c>
      <c r="F14" s="43" t="s">
        <v>151</v>
      </c>
      <c r="G14" s="372"/>
      <c r="H14" s="373"/>
      <c r="I14" s="374"/>
      <c r="J14" s="375"/>
      <c r="K14" s="376" t="str">
        <f>IF(TRIM(J14)="", "", IF(VLOOKUP(J14,'Footnotes list'!$D$9:$E$58,2,FALSE)=0,"",VLOOKUP(J14,'Footnotes list'!$D$9:$E$58,2,FALSE) ) )</f>
        <v/>
      </c>
      <c r="L14" s="372"/>
      <c r="M14" s="373"/>
      <c r="N14" s="374"/>
      <c r="O14" s="375"/>
      <c r="P14" s="376" t="str">
        <f>IF(TRIM(O14)="", "", IF(VLOOKUP(O14,'Footnotes list'!$D$9:$E$58,2,FALSE)=0,"",VLOOKUP(O14,'Footnotes list'!$D$9:$E$58,2,FALSE) ) )</f>
        <v/>
      </c>
      <c r="Q14" s="372"/>
      <c r="R14" s="373"/>
      <c r="S14" s="374"/>
      <c r="T14" s="375"/>
      <c r="U14" s="376" t="str">
        <f>IF(TRIM(T14)="", "", IF(VLOOKUP(T14,'Footnotes list'!$D$9:$E$58,2,FALSE)=0,"",VLOOKUP(T14,'Footnotes list'!$D$9:$E$58,2,FALSE) ) )</f>
        <v/>
      </c>
      <c r="V14" s="372"/>
      <c r="W14" s="373"/>
      <c r="X14" s="374"/>
      <c r="Y14" s="375"/>
      <c r="Z14" s="376" t="str">
        <f>IF(TRIM(Y14)="", "", IF(VLOOKUP(Y14,'Footnotes list'!$D$9:$E$58,2,FALSE)=0,"",VLOOKUP(Y14,'Footnotes list'!$D$9:$E$58,2,FALSE) ) )</f>
        <v/>
      </c>
      <c r="AA14" s="128" t="str">
        <f>IF(AND(TRIM(Q14)="",TRIM(V14)=""),"",Q14+V14)</f>
        <v/>
      </c>
      <c r="AB14" s="373"/>
      <c r="AC14" s="374"/>
      <c r="AD14" s="375"/>
      <c r="AE14" s="376" t="str">
        <f>IF(TRIM(AD14)="", "", IF(VLOOKUP(AD14,'Footnotes list'!$D$9:$E$58,2,FALSE)=0,"",VLOOKUP(AD14,'Footnotes list'!$D$9:$E$58,2,FALSE) ) )</f>
        <v/>
      </c>
      <c r="AF14" s="372"/>
      <c r="AG14" s="373"/>
      <c r="AH14" s="374"/>
      <c r="AI14" s="375"/>
      <c r="AJ14" s="376" t="str">
        <f>IF(TRIM(AI14)="", "", IF(VLOOKUP(AI14,'Footnotes list'!$D$9:$E$58,2,FALSE)=0,"",VLOOKUP(AI14,'Footnotes list'!$D$9:$E$58,2,FALSE) ) )</f>
        <v/>
      </c>
      <c r="AK14" s="372"/>
      <c r="AL14" s="373"/>
      <c r="AM14" s="374"/>
      <c r="AN14" s="375"/>
      <c r="AO14" s="376" t="str">
        <f>IF(TRIM(AN14)="", "", IF(VLOOKUP(AN14,'Footnotes list'!$D$9:$E$58,2,FALSE)=0,"",VLOOKUP(AN14,'Footnotes list'!$D$9:$E$58,2,FALSE) ) )</f>
        <v/>
      </c>
      <c r="AP14" s="128" t="str">
        <f>IF(AND(TRIM(AF14)="",TRIM(AK14)=""),"",AF14+AK14)</f>
        <v/>
      </c>
      <c r="AQ14" s="373"/>
      <c r="AR14" s="374"/>
      <c r="AS14" s="375"/>
      <c r="AT14" s="376" t="str">
        <f>IF(TRIM(AS14)="", "", IF(VLOOKUP(AS14,'Footnotes list'!$D$9:$E$58,2,FALSE)=0,"",VLOOKUP(AS14,'Footnotes list'!$D$9:$E$58,2,FALSE) ) )</f>
        <v/>
      </c>
      <c r="AU14" s="382" t="str">
        <f>IF(AND(TRIM(G14)="",TRIM(L14)="",TRIM(AA14)="",TRIM(AP14)=""),"",SUM(G14,L14,AA14,AP14))</f>
        <v/>
      </c>
      <c r="AV14" s="373"/>
      <c r="AW14" s="374"/>
      <c r="AX14" s="375"/>
      <c r="AY14" s="376" t="str">
        <f>IF(TRIM(AX14)="", "", IF(VLOOKUP(AX14,'Footnotes list'!$D$9:$E$58,2,FALSE)=0,"",VLOOKUP(AX14,'Footnotes list'!$D$9:$E$58,2,FALSE) ) )</f>
        <v/>
      </c>
    </row>
    <row r="15" spans="2:51" ht="15" customHeight="1" thickBot="1" x14ac:dyDescent="0.4">
      <c r="B15" s="535"/>
      <c r="C15" s="44"/>
      <c r="D15" s="529"/>
      <c r="E15" s="44"/>
      <c r="F15" s="45" t="s">
        <v>233</v>
      </c>
      <c r="G15" s="383"/>
      <c r="H15" s="384"/>
      <c r="I15" s="384"/>
      <c r="J15" s="384"/>
      <c r="K15" s="385"/>
      <c r="L15" s="383"/>
      <c r="M15" s="384"/>
      <c r="N15" s="384"/>
      <c r="O15" s="384"/>
      <c r="P15" s="385"/>
      <c r="Q15" s="383"/>
      <c r="R15" s="384"/>
      <c r="S15" s="384"/>
      <c r="T15" s="384"/>
      <c r="U15" s="385"/>
      <c r="V15" s="383"/>
      <c r="W15" s="384"/>
      <c r="X15" s="384"/>
      <c r="Y15" s="384"/>
      <c r="Z15" s="385"/>
      <c r="AA15" s="383"/>
      <c r="AB15" s="384"/>
      <c r="AC15" s="384"/>
      <c r="AD15" s="384"/>
      <c r="AE15" s="385"/>
      <c r="AF15" s="383"/>
      <c r="AG15" s="384"/>
      <c r="AH15" s="384"/>
      <c r="AI15" s="384"/>
      <c r="AJ15" s="385"/>
      <c r="AK15" s="383"/>
      <c r="AL15" s="384"/>
      <c r="AM15" s="384"/>
      <c r="AN15" s="384"/>
      <c r="AO15" s="385"/>
      <c r="AP15" s="383"/>
      <c r="AQ15" s="384"/>
      <c r="AR15" s="384"/>
      <c r="AS15" s="384"/>
      <c r="AT15" s="385"/>
      <c r="AU15" s="383"/>
      <c r="AV15" s="384"/>
      <c r="AW15" s="384"/>
      <c r="AX15" s="384"/>
      <c r="AY15" s="385"/>
    </row>
    <row r="16" spans="2:51" ht="15" customHeight="1" thickBot="1" x14ac:dyDescent="0.4">
      <c r="B16" s="536"/>
      <c r="C16" s="53" t="s">
        <v>112</v>
      </c>
      <c r="D16" s="530"/>
      <c r="E16" s="47" t="s">
        <v>146</v>
      </c>
      <c r="F16" s="54" t="s">
        <v>234</v>
      </c>
      <c r="G16" s="126" t="str">
        <f>IF(AND(TRIM(G14)="",TRIM(G15)=""),"",G14+G15)</f>
        <v/>
      </c>
      <c r="H16" s="373"/>
      <c r="I16" s="374"/>
      <c r="J16" s="375"/>
      <c r="K16" s="376" t="str">
        <f>IF(TRIM(J16)="", "", IF(VLOOKUP(J16,'Footnotes list'!$D$9:$E$58,2,FALSE)=0,"",VLOOKUP(J16,'Footnotes list'!$D$9:$E$58,2,FALSE) ) )</f>
        <v/>
      </c>
      <c r="L16" s="126" t="str">
        <f>IF(AND(TRIM(L14)="",TRIM(L15)=""),"",L14+L15)</f>
        <v/>
      </c>
      <c r="M16" s="373"/>
      <c r="N16" s="374"/>
      <c r="O16" s="375"/>
      <c r="P16" s="376" t="str">
        <f>IF(TRIM(O16)="", "", IF(VLOOKUP(O16,'Footnotes list'!$D$9:$E$58,2,FALSE)=0,"",VLOOKUP(O16,'Footnotes list'!$D$9:$E$58,2,FALSE) ) )</f>
        <v/>
      </c>
      <c r="Q16" s="126" t="str">
        <f>IF(AND(TRIM(Q14)="",TRIM(Q15)=""),"",Q14+Q15)</f>
        <v/>
      </c>
      <c r="R16" s="373"/>
      <c r="S16" s="374"/>
      <c r="T16" s="375"/>
      <c r="U16" s="376" t="str">
        <f>IF(TRIM(T16)="", "", IF(VLOOKUP(T16,'Footnotes list'!$D$9:$E$58,2,FALSE)=0,"",VLOOKUP(T16,'Footnotes list'!$D$9:$E$58,2,FALSE) ) )</f>
        <v/>
      </c>
      <c r="V16" s="126" t="str">
        <f>IF(AND(TRIM(V14)="",TRIM(V15)=""),"",V14+V15)</f>
        <v/>
      </c>
      <c r="W16" s="373"/>
      <c r="X16" s="374"/>
      <c r="Y16" s="375"/>
      <c r="Z16" s="376" t="str">
        <f>IF(TRIM(Y16)="", "", IF(VLOOKUP(Y16,'Footnotes list'!$D$9:$E$58,2,FALSE)=0,"",VLOOKUP(Y16,'Footnotes list'!$D$9:$E$58,2,FALSE) ) )</f>
        <v/>
      </c>
      <c r="AA16" s="127" t="str">
        <f>IF(AND(TRIM(AA14)="", TRIM(AA15)=""), "", SUM(AA14,AA15))</f>
        <v/>
      </c>
      <c r="AB16" s="373"/>
      <c r="AC16" s="374"/>
      <c r="AD16" s="375"/>
      <c r="AE16" s="376" t="str">
        <f>IF(TRIM(AD16)="", "", IF(VLOOKUP(AD16,'Footnotes list'!$D$9:$E$58,2,FALSE)=0,"",VLOOKUP(AD16,'Footnotes list'!$D$9:$E$58,2,FALSE) ) )</f>
        <v/>
      </c>
      <c r="AF16" s="126" t="str">
        <f>IF(AND(TRIM(AF14)="",TRIM(AF15)=""),"",AF14+AF15)</f>
        <v/>
      </c>
      <c r="AG16" s="373"/>
      <c r="AH16" s="374"/>
      <c r="AI16" s="375"/>
      <c r="AJ16" s="376" t="str">
        <f>IF(TRIM(AI16)="", "", IF(VLOOKUP(AI16,'Footnotes list'!$D$9:$E$58,2,FALSE)=0,"",VLOOKUP(AI16,'Footnotes list'!$D$9:$E$58,2,FALSE) ) )</f>
        <v/>
      </c>
      <c r="AK16" s="126" t="str">
        <f>IF(AND(TRIM(AK14)="",TRIM(AK15)=""),"",AK14+AK15)</f>
        <v/>
      </c>
      <c r="AL16" s="373"/>
      <c r="AM16" s="374"/>
      <c r="AN16" s="375"/>
      <c r="AO16" s="376" t="str">
        <f>IF(TRIM(AN16)="", "", IF(VLOOKUP(AN16,'Footnotes list'!$D$9:$E$58,2,FALSE)=0,"",VLOOKUP(AN16,'Footnotes list'!$D$9:$E$58,2,FALSE) ) )</f>
        <v/>
      </c>
      <c r="AP16" s="127" t="str">
        <f>IF(AND(TRIM(AP14)="", TRIM(AP15)=""), "", SUM(AP14,AP15))</f>
        <v/>
      </c>
      <c r="AQ16" s="373"/>
      <c r="AR16" s="374"/>
      <c r="AS16" s="375"/>
      <c r="AT16" s="376" t="str">
        <f>IF(TRIM(AS16)="", "", IF(VLOOKUP(AS16,'Footnotes list'!$D$9:$E$58,2,FALSE)=0,"",VLOOKUP(AS16,'Footnotes list'!$D$9:$E$58,2,FALSE) ) )</f>
        <v/>
      </c>
      <c r="AU16" s="126" t="str">
        <f>IF(AND(TRIM(AU14)="", TRIM(AU15)=""), "", SUM(AU14,AU15) )</f>
        <v/>
      </c>
      <c r="AV16" s="373"/>
      <c r="AW16" s="374"/>
      <c r="AX16" s="375"/>
      <c r="AY16" s="376" t="str">
        <f>IF(TRIM(AX16)="", "", IF(VLOOKUP(AX16,'Footnotes list'!$D$9:$E$58,2,FALSE)=0,"",VLOOKUP(AX16,'Footnotes list'!$D$9:$E$58,2,FALSE) ) )</f>
        <v/>
      </c>
    </row>
    <row r="17" spans="2:51" ht="15" customHeight="1" x14ac:dyDescent="0.35">
      <c r="B17" s="534" t="s">
        <v>113</v>
      </c>
      <c r="C17" s="41" t="s">
        <v>113</v>
      </c>
      <c r="D17" s="528" t="s">
        <v>81</v>
      </c>
      <c r="E17" s="42" t="s">
        <v>144</v>
      </c>
      <c r="F17" s="43" t="s">
        <v>151</v>
      </c>
      <c r="G17" s="372"/>
      <c r="H17" s="373"/>
      <c r="I17" s="374"/>
      <c r="J17" s="375"/>
      <c r="K17" s="376" t="str">
        <f>IF(TRIM(J17)="", "", IF(VLOOKUP(J17,'Footnotes list'!$D$9:$E$58,2,FALSE)=0,"",VLOOKUP(J17,'Footnotes list'!$D$9:$E$58,2,FALSE) ) )</f>
        <v/>
      </c>
      <c r="L17" s="372"/>
      <c r="M17" s="373"/>
      <c r="N17" s="374"/>
      <c r="O17" s="375"/>
      <c r="P17" s="376" t="str">
        <f>IF(TRIM(O17)="", "", IF(VLOOKUP(O17,'Footnotes list'!$D$9:$E$58,2,FALSE)=0,"",VLOOKUP(O17,'Footnotes list'!$D$9:$E$58,2,FALSE) ) )</f>
        <v/>
      </c>
      <c r="Q17" s="372"/>
      <c r="R17" s="373"/>
      <c r="S17" s="374"/>
      <c r="T17" s="375"/>
      <c r="U17" s="376" t="str">
        <f>IF(TRIM(T17)="", "", IF(VLOOKUP(T17,'Footnotes list'!$D$9:$E$58,2,FALSE)=0,"",VLOOKUP(T17,'Footnotes list'!$D$9:$E$58,2,FALSE) ) )</f>
        <v/>
      </c>
      <c r="V17" s="372"/>
      <c r="W17" s="373"/>
      <c r="X17" s="374"/>
      <c r="Y17" s="375"/>
      <c r="Z17" s="376" t="str">
        <f>IF(TRIM(Y17)="", "", IF(VLOOKUP(Y17,'Footnotes list'!$D$9:$E$58,2,FALSE)=0,"",VLOOKUP(Y17,'Footnotes list'!$D$9:$E$58,2,FALSE) ) )</f>
        <v/>
      </c>
      <c r="AA17" s="382" t="str">
        <f>IF(AND(TRIM(Q17)="",TRIM(V17)=""),"",Q17+V17)</f>
        <v/>
      </c>
      <c r="AB17" s="373"/>
      <c r="AC17" s="374"/>
      <c r="AD17" s="375"/>
      <c r="AE17" s="376" t="str">
        <f>IF(TRIM(AD17)="", "", IF(VLOOKUP(AD17,'Footnotes list'!$D$9:$E$58,2,FALSE)=0,"",VLOOKUP(AD17,'Footnotes list'!$D$9:$E$58,2,FALSE) ) )</f>
        <v/>
      </c>
      <c r="AF17" s="372"/>
      <c r="AG17" s="373"/>
      <c r="AH17" s="374"/>
      <c r="AI17" s="375"/>
      <c r="AJ17" s="376" t="str">
        <f>IF(TRIM(AI17)="", "", IF(VLOOKUP(AI17,'Footnotes list'!$D$9:$E$58,2,FALSE)=0,"",VLOOKUP(AI17,'Footnotes list'!$D$9:$E$58,2,FALSE) ) )</f>
        <v/>
      </c>
      <c r="AK17" s="372"/>
      <c r="AL17" s="373"/>
      <c r="AM17" s="374"/>
      <c r="AN17" s="375"/>
      <c r="AO17" s="376" t="str">
        <f>IF(TRIM(AN17)="", "", IF(VLOOKUP(AN17,'Footnotes list'!$D$9:$E$58,2,FALSE)=0,"",VLOOKUP(AN17,'Footnotes list'!$D$9:$E$58,2,FALSE) ) )</f>
        <v/>
      </c>
      <c r="AP17" s="382" t="str">
        <f>IF(AND(TRIM(AF17)="",TRIM(AK17)=""),"",AF17+AK17)</f>
        <v/>
      </c>
      <c r="AQ17" s="373"/>
      <c r="AR17" s="374"/>
      <c r="AS17" s="375"/>
      <c r="AT17" s="376" t="str">
        <f>IF(TRIM(AS17)="", "", IF(VLOOKUP(AS17,'Footnotes list'!$D$9:$E$58,2,FALSE)=0,"",VLOOKUP(AS17,'Footnotes list'!$D$9:$E$58,2,FALSE) ) )</f>
        <v/>
      </c>
      <c r="AU17" s="382" t="str">
        <f>IF(AND(TRIM(G17)="",TRIM(L17)="",TRIM(AA17)="",TRIM(AP17)=""),"",SUM(G17,L17,AA17,AP17))</f>
        <v/>
      </c>
      <c r="AV17" s="373"/>
      <c r="AW17" s="374"/>
      <c r="AX17" s="375"/>
      <c r="AY17" s="376" t="str">
        <f>IF(TRIM(AX17)="", "", IF(VLOOKUP(AX17,'Footnotes list'!$D$9:$E$58,2,FALSE)=0,"",VLOOKUP(AX17,'Footnotes list'!$D$9:$E$58,2,FALSE) ) )</f>
        <v/>
      </c>
    </row>
    <row r="18" spans="2:51" ht="15" customHeight="1" x14ac:dyDescent="0.35">
      <c r="B18" s="535"/>
      <c r="C18" s="50" t="s">
        <v>113</v>
      </c>
      <c r="D18" s="529"/>
      <c r="E18" s="51" t="s">
        <v>145</v>
      </c>
      <c r="F18" s="52" t="s">
        <v>152</v>
      </c>
      <c r="G18" s="378"/>
      <c r="H18" s="379"/>
      <c r="I18" s="380"/>
      <c r="J18" s="381"/>
      <c r="K18" s="377" t="str">
        <f>IF(TRIM(J18)="", "", IF(VLOOKUP(J18,'Footnotes list'!$D$9:$E$58,2,FALSE)=0,"",VLOOKUP(J18,'Footnotes list'!$D$9:$E$58,2,FALSE) ) )</f>
        <v/>
      </c>
      <c r="L18" s="378"/>
      <c r="M18" s="379"/>
      <c r="N18" s="380"/>
      <c r="O18" s="381"/>
      <c r="P18" s="377" t="str">
        <f>IF(TRIM(O18)="", "", IF(VLOOKUP(O18,'Footnotes list'!$D$9:$E$58,2,FALSE)=0,"",VLOOKUP(O18,'Footnotes list'!$D$9:$E$58,2,FALSE) ) )</f>
        <v/>
      </c>
      <c r="Q18" s="378"/>
      <c r="R18" s="379"/>
      <c r="S18" s="380"/>
      <c r="T18" s="381"/>
      <c r="U18" s="377" t="str">
        <f>IF(TRIM(T18)="", "", IF(VLOOKUP(T18,'Footnotes list'!$D$9:$E$58,2,FALSE)=0,"",VLOOKUP(T18,'Footnotes list'!$D$9:$E$58,2,FALSE) ) )</f>
        <v/>
      </c>
      <c r="V18" s="378"/>
      <c r="W18" s="379"/>
      <c r="X18" s="380"/>
      <c r="Y18" s="381"/>
      <c r="Z18" s="377" t="str">
        <f>IF(TRIM(Y18)="", "", IF(VLOOKUP(Y18,'Footnotes list'!$D$9:$E$58,2,FALSE)=0,"",VLOOKUP(Y18,'Footnotes list'!$D$9:$E$58,2,FALSE) ) )</f>
        <v/>
      </c>
      <c r="AA18" s="129" t="str">
        <f>IF(AND(TRIM(Q18)="",TRIM(V18)=""),"",Q18+V18)</f>
        <v/>
      </c>
      <c r="AB18" s="379"/>
      <c r="AC18" s="380"/>
      <c r="AD18" s="381"/>
      <c r="AE18" s="377" t="str">
        <f>IF(TRIM(AD18)="", "", IF(VLOOKUP(AD18,'Footnotes list'!$D$9:$E$58,2,FALSE)=0,"",VLOOKUP(AD18,'Footnotes list'!$D$9:$E$58,2,FALSE) ) )</f>
        <v/>
      </c>
      <c r="AF18" s="378"/>
      <c r="AG18" s="379"/>
      <c r="AH18" s="380"/>
      <c r="AI18" s="381"/>
      <c r="AJ18" s="377" t="str">
        <f>IF(TRIM(AI18)="", "", IF(VLOOKUP(AI18,'Footnotes list'!$D$9:$E$58,2,FALSE)=0,"",VLOOKUP(AI18,'Footnotes list'!$D$9:$E$58,2,FALSE) ) )</f>
        <v/>
      </c>
      <c r="AK18" s="378"/>
      <c r="AL18" s="379"/>
      <c r="AM18" s="380"/>
      <c r="AN18" s="381"/>
      <c r="AO18" s="377" t="str">
        <f>IF(TRIM(AN18)="", "", IF(VLOOKUP(AN18,'Footnotes list'!$D$9:$E$58,2,FALSE)=0,"",VLOOKUP(AN18,'Footnotes list'!$D$9:$E$58,2,FALSE) ) )</f>
        <v/>
      </c>
      <c r="AP18" s="129" t="str">
        <f>IF(AND(TRIM(AF18)="",TRIM(AK18)=""),"",AF18+AK18)</f>
        <v/>
      </c>
      <c r="AQ18" s="379"/>
      <c r="AR18" s="380"/>
      <c r="AS18" s="381"/>
      <c r="AT18" s="377" t="str">
        <f>IF(TRIM(AS18)="", "", IF(VLOOKUP(AS18,'Footnotes list'!$D$9:$E$58,2,FALSE)=0,"",VLOOKUP(AS18,'Footnotes list'!$D$9:$E$58,2,FALSE) ) )</f>
        <v/>
      </c>
      <c r="AU18" s="403" t="str">
        <f>IF(AND(TRIM(G18)="",TRIM(L18)="",TRIM(AA18)="",TRIM(AP18)=""),"",SUM(G18,L18,AA18,AP18))</f>
        <v/>
      </c>
      <c r="AV18" s="379"/>
      <c r="AW18" s="380"/>
      <c r="AX18" s="381"/>
      <c r="AY18" s="377" t="str">
        <f>IF(TRIM(AX18)="", "", IF(VLOOKUP(AX18,'Footnotes list'!$D$9:$E$58,2,FALSE)=0,"",VLOOKUP(AX18,'Footnotes list'!$D$9:$E$58,2,FALSE) ) )</f>
        <v/>
      </c>
    </row>
    <row r="19" spans="2:51" ht="15" customHeight="1" thickBot="1" x14ac:dyDescent="0.4">
      <c r="B19" s="536"/>
      <c r="C19" s="53" t="s">
        <v>113</v>
      </c>
      <c r="D19" s="530"/>
      <c r="E19" s="47" t="s">
        <v>146</v>
      </c>
      <c r="F19" s="54" t="s">
        <v>234</v>
      </c>
      <c r="G19" s="126" t="str">
        <f>IF(AND(TRIM(G17)="",TRIM(G18)=""),"",G17+G18)</f>
        <v/>
      </c>
      <c r="H19" s="379"/>
      <c r="I19" s="380"/>
      <c r="J19" s="381"/>
      <c r="K19" s="377" t="str">
        <f>IF(TRIM(J19)="", "", IF(VLOOKUP(J19,'Footnotes list'!$D$9:$E$58,2,FALSE)=0,"",VLOOKUP(J19,'Footnotes list'!$D$9:$E$58,2,FALSE) ) )</f>
        <v/>
      </c>
      <c r="L19" s="126" t="str">
        <f>IF(AND(TRIM(L17)="",TRIM(L18)=""),"",L17+L18)</f>
        <v/>
      </c>
      <c r="M19" s="379"/>
      <c r="N19" s="380"/>
      <c r="O19" s="381"/>
      <c r="P19" s="377" t="str">
        <f>IF(TRIM(O19)="", "", IF(VLOOKUP(O19,'Footnotes list'!$D$9:$E$58,2,FALSE)=0,"",VLOOKUP(O19,'Footnotes list'!$D$9:$E$58,2,FALSE) ) )</f>
        <v/>
      </c>
      <c r="Q19" s="126" t="str">
        <f>IF(AND(TRIM(Q17)="",TRIM(Q18)=""),"",Q17+Q18)</f>
        <v/>
      </c>
      <c r="R19" s="379"/>
      <c r="S19" s="380"/>
      <c r="T19" s="381"/>
      <c r="U19" s="377" t="str">
        <f>IF(TRIM(T19)="", "", IF(VLOOKUP(T19,'Footnotes list'!$D$9:$E$58,2,FALSE)=0,"",VLOOKUP(T19,'Footnotes list'!$D$9:$E$58,2,FALSE) ) )</f>
        <v/>
      </c>
      <c r="V19" s="126" t="str">
        <f>IF(AND(TRIM(V17)="",TRIM(V18)=""),"",V17+V18)</f>
        <v/>
      </c>
      <c r="W19" s="379"/>
      <c r="X19" s="380"/>
      <c r="Y19" s="381"/>
      <c r="Z19" s="377" t="str">
        <f>IF(TRIM(Y19)="", "", IF(VLOOKUP(Y19,'Footnotes list'!$D$9:$E$58,2,FALSE)=0,"",VLOOKUP(Y19,'Footnotes list'!$D$9:$E$58,2,FALSE) ) )</f>
        <v/>
      </c>
      <c r="AA19" s="126" t="str">
        <f>IF(AND(TRIM(AA17)="", TRIM(AA18)=""), "", SUM(AA17,AA18))</f>
        <v/>
      </c>
      <c r="AB19" s="379"/>
      <c r="AC19" s="380"/>
      <c r="AD19" s="381"/>
      <c r="AE19" s="377" t="str">
        <f>IF(TRIM(AD19)="", "", IF(VLOOKUP(AD19,'Footnotes list'!$D$9:$E$58,2,FALSE)=0,"",VLOOKUP(AD19,'Footnotes list'!$D$9:$E$58,2,FALSE) ) )</f>
        <v/>
      </c>
      <c r="AF19" s="126" t="str">
        <f>IF(AND(TRIM(AF17)="",TRIM(AF18)=""),"",AF17+AF18)</f>
        <v/>
      </c>
      <c r="AG19" s="379"/>
      <c r="AH19" s="380"/>
      <c r="AI19" s="381"/>
      <c r="AJ19" s="377" t="str">
        <f>IF(TRIM(AI19)="", "", IF(VLOOKUP(AI19,'Footnotes list'!$D$9:$E$58,2,FALSE)=0,"",VLOOKUP(AI19,'Footnotes list'!$D$9:$E$58,2,FALSE) ) )</f>
        <v/>
      </c>
      <c r="AK19" s="126" t="str">
        <f>IF(AND(TRIM(AK17)="",TRIM(AK18)=""),"",AK17+AK18)</f>
        <v/>
      </c>
      <c r="AL19" s="379"/>
      <c r="AM19" s="380"/>
      <c r="AN19" s="381"/>
      <c r="AO19" s="377" t="str">
        <f>IF(TRIM(AN19)="", "", IF(VLOOKUP(AN19,'Footnotes list'!$D$9:$E$58,2,FALSE)=0,"",VLOOKUP(AN19,'Footnotes list'!$D$9:$E$58,2,FALSE) ) )</f>
        <v/>
      </c>
      <c r="AP19" s="126" t="str">
        <f>IF(AND(TRIM(AP17)="", TRIM(AP18)=""), "", SUM(AP17,AP18))</f>
        <v/>
      </c>
      <c r="AQ19" s="379"/>
      <c r="AR19" s="380"/>
      <c r="AS19" s="381"/>
      <c r="AT19" s="377" t="str">
        <f>IF(TRIM(AS19)="", "", IF(VLOOKUP(AS19,'Footnotes list'!$D$9:$E$58,2,FALSE)=0,"",VLOOKUP(AS19,'Footnotes list'!$D$9:$E$58,2,FALSE) ) )</f>
        <v/>
      </c>
      <c r="AU19" s="126" t="str">
        <f>IF(AND(TRIM(AU17)="", TRIM(AU18)=""), "", SUM(AU17,AU18) )</f>
        <v/>
      </c>
      <c r="AV19" s="379"/>
      <c r="AW19" s="380"/>
      <c r="AX19" s="381"/>
      <c r="AY19" s="377" t="str">
        <f>IF(TRIM(AX19)="", "", IF(VLOOKUP(AX19,'Footnotes list'!$D$9:$E$58,2,FALSE)=0,"",VLOOKUP(AX19,'Footnotes list'!$D$9:$E$58,2,FALSE) ) )</f>
        <v/>
      </c>
    </row>
    <row r="20" spans="2:51" ht="15" customHeight="1" x14ac:dyDescent="0.35">
      <c r="B20" s="534" t="s">
        <v>114</v>
      </c>
      <c r="C20" s="41" t="s">
        <v>114</v>
      </c>
      <c r="D20" s="528" t="s">
        <v>82</v>
      </c>
      <c r="E20" s="42" t="s">
        <v>144</v>
      </c>
      <c r="F20" s="43" t="s">
        <v>151</v>
      </c>
      <c r="G20" s="372"/>
      <c r="H20" s="373"/>
      <c r="I20" s="374"/>
      <c r="J20" s="375"/>
      <c r="K20" s="376" t="str">
        <f>IF(TRIM(J20)="", "", IF(VLOOKUP(J20,'Footnotes list'!$D$9:$E$58,2,FALSE)=0,"",VLOOKUP(J20,'Footnotes list'!$D$9:$E$58,2,FALSE) ) )</f>
        <v/>
      </c>
      <c r="L20" s="372"/>
      <c r="M20" s="373"/>
      <c r="N20" s="374"/>
      <c r="O20" s="375"/>
      <c r="P20" s="376" t="str">
        <f>IF(TRIM(O20)="", "", IF(VLOOKUP(O20,'Footnotes list'!$D$9:$E$58,2,FALSE)=0,"",VLOOKUP(O20,'Footnotes list'!$D$9:$E$58,2,FALSE) ) )</f>
        <v/>
      </c>
      <c r="Q20" s="372"/>
      <c r="R20" s="373"/>
      <c r="S20" s="374"/>
      <c r="T20" s="375"/>
      <c r="U20" s="376" t="str">
        <f>IF(TRIM(T20)="", "", IF(VLOOKUP(T20,'Footnotes list'!$D$9:$E$58,2,FALSE)=0,"",VLOOKUP(T20,'Footnotes list'!$D$9:$E$58,2,FALSE) ) )</f>
        <v/>
      </c>
      <c r="V20" s="372"/>
      <c r="W20" s="373"/>
      <c r="X20" s="374"/>
      <c r="Y20" s="375"/>
      <c r="Z20" s="376" t="str">
        <f>IF(TRIM(Y20)="", "", IF(VLOOKUP(Y20,'Footnotes list'!$D$9:$E$58,2,FALSE)=0,"",VLOOKUP(Y20,'Footnotes list'!$D$9:$E$58,2,FALSE) ) )</f>
        <v/>
      </c>
      <c r="AA20" s="382" t="str">
        <f>IF(AND(TRIM(Q20)="",TRIM(V20)=""),"",Q20+V20)</f>
        <v/>
      </c>
      <c r="AB20" s="373"/>
      <c r="AC20" s="374"/>
      <c r="AD20" s="375"/>
      <c r="AE20" s="376" t="str">
        <f>IF(TRIM(AD20)="", "", IF(VLOOKUP(AD20,'Footnotes list'!$D$9:$E$58,2,FALSE)=0,"",VLOOKUP(AD20,'Footnotes list'!$D$9:$E$58,2,FALSE) ) )</f>
        <v/>
      </c>
      <c r="AF20" s="372"/>
      <c r="AG20" s="373"/>
      <c r="AH20" s="374"/>
      <c r="AI20" s="375"/>
      <c r="AJ20" s="376" t="str">
        <f>IF(TRIM(AI20)="", "", IF(VLOOKUP(AI20,'Footnotes list'!$D$9:$E$58,2,FALSE)=0,"",VLOOKUP(AI20,'Footnotes list'!$D$9:$E$58,2,FALSE) ) )</f>
        <v/>
      </c>
      <c r="AK20" s="372"/>
      <c r="AL20" s="373"/>
      <c r="AM20" s="374"/>
      <c r="AN20" s="375"/>
      <c r="AO20" s="376" t="str">
        <f>IF(TRIM(AN20)="", "", IF(VLOOKUP(AN20,'Footnotes list'!$D$9:$E$58,2,FALSE)=0,"",VLOOKUP(AN20,'Footnotes list'!$D$9:$E$58,2,FALSE) ) )</f>
        <v/>
      </c>
      <c r="AP20" s="382" t="str">
        <f>IF(AND(TRIM(AF20)="",TRIM(AK20)=""),"",AF20+AK20)</f>
        <v/>
      </c>
      <c r="AQ20" s="373"/>
      <c r="AR20" s="374"/>
      <c r="AS20" s="375"/>
      <c r="AT20" s="376" t="str">
        <f>IF(TRIM(AS20)="", "", IF(VLOOKUP(AS20,'Footnotes list'!$D$9:$E$58,2,FALSE)=0,"",VLOOKUP(AS20,'Footnotes list'!$D$9:$E$58,2,FALSE) ) )</f>
        <v/>
      </c>
      <c r="AU20" s="382" t="str">
        <f>IF(AND(TRIM(G20)="",TRIM(L20)="",TRIM(AA20)="",TRIM(AP20)=""),"",SUM(G20,L20,AA20,AP20))</f>
        <v/>
      </c>
      <c r="AV20" s="373"/>
      <c r="AW20" s="374"/>
      <c r="AX20" s="375"/>
      <c r="AY20" s="376" t="str">
        <f>IF(TRIM(AX20)="", "", IF(VLOOKUP(AX20,'Footnotes list'!$D$9:$E$58,2,FALSE)=0,"",VLOOKUP(AX20,'Footnotes list'!$D$9:$E$58,2,FALSE) ) )</f>
        <v/>
      </c>
    </row>
    <row r="21" spans="2:51" ht="15" customHeight="1" x14ac:dyDescent="0.35">
      <c r="B21" s="535"/>
      <c r="C21" s="50" t="s">
        <v>114</v>
      </c>
      <c r="D21" s="529"/>
      <c r="E21" s="51" t="s">
        <v>145</v>
      </c>
      <c r="F21" s="52" t="s">
        <v>152</v>
      </c>
      <c r="G21" s="378"/>
      <c r="H21" s="379"/>
      <c r="I21" s="380"/>
      <c r="J21" s="381"/>
      <c r="K21" s="377" t="str">
        <f>IF(TRIM(J21)="", "", IF(VLOOKUP(J21,'Footnotes list'!$D$9:$E$58,2,FALSE)=0,"",VLOOKUP(J21,'Footnotes list'!$D$9:$E$58,2,FALSE) ) )</f>
        <v/>
      </c>
      <c r="L21" s="378"/>
      <c r="M21" s="379"/>
      <c r="N21" s="380"/>
      <c r="O21" s="381"/>
      <c r="P21" s="377" t="str">
        <f>IF(TRIM(O21)="", "", IF(VLOOKUP(O21,'Footnotes list'!$D$9:$E$58,2,FALSE)=0,"",VLOOKUP(O21,'Footnotes list'!$D$9:$E$58,2,FALSE) ) )</f>
        <v/>
      </c>
      <c r="Q21" s="378"/>
      <c r="R21" s="379"/>
      <c r="S21" s="380"/>
      <c r="T21" s="381"/>
      <c r="U21" s="377" t="str">
        <f>IF(TRIM(T21)="", "", IF(VLOOKUP(T21,'Footnotes list'!$D$9:$E$58,2,FALSE)=0,"",VLOOKUP(T21,'Footnotes list'!$D$9:$E$58,2,FALSE) ) )</f>
        <v/>
      </c>
      <c r="V21" s="378"/>
      <c r="W21" s="379"/>
      <c r="X21" s="380"/>
      <c r="Y21" s="381"/>
      <c r="Z21" s="377" t="str">
        <f>IF(TRIM(Y21)="", "", IF(VLOOKUP(Y21,'Footnotes list'!$D$9:$E$58,2,FALSE)=0,"",VLOOKUP(Y21,'Footnotes list'!$D$9:$E$58,2,FALSE) ) )</f>
        <v/>
      </c>
      <c r="AA21" s="129" t="str">
        <f>IF(AND(TRIM(Q21)="",TRIM(V21)=""),"",Q21+V21)</f>
        <v/>
      </c>
      <c r="AB21" s="379"/>
      <c r="AC21" s="380"/>
      <c r="AD21" s="381"/>
      <c r="AE21" s="377" t="str">
        <f>IF(TRIM(AD21)="", "", IF(VLOOKUP(AD21,'Footnotes list'!$D$9:$E$58,2,FALSE)=0,"",VLOOKUP(AD21,'Footnotes list'!$D$9:$E$58,2,FALSE) ) )</f>
        <v/>
      </c>
      <c r="AF21" s="378"/>
      <c r="AG21" s="379"/>
      <c r="AH21" s="380"/>
      <c r="AI21" s="381"/>
      <c r="AJ21" s="377" t="str">
        <f>IF(TRIM(AI21)="", "", IF(VLOOKUP(AI21,'Footnotes list'!$D$9:$E$58,2,FALSE)=0,"",VLOOKUP(AI21,'Footnotes list'!$D$9:$E$58,2,FALSE) ) )</f>
        <v/>
      </c>
      <c r="AK21" s="378"/>
      <c r="AL21" s="379"/>
      <c r="AM21" s="380"/>
      <c r="AN21" s="381"/>
      <c r="AO21" s="377" t="str">
        <f>IF(TRIM(AN21)="", "", IF(VLOOKUP(AN21,'Footnotes list'!$D$9:$E$58,2,FALSE)=0,"",VLOOKUP(AN21,'Footnotes list'!$D$9:$E$58,2,FALSE) ) )</f>
        <v/>
      </c>
      <c r="AP21" s="129" t="str">
        <f>IF(AND(TRIM(AF21)="",TRIM(AK21)=""),"",AF21+AK21)</f>
        <v/>
      </c>
      <c r="AQ21" s="379"/>
      <c r="AR21" s="380"/>
      <c r="AS21" s="381"/>
      <c r="AT21" s="377" t="str">
        <f>IF(TRIM(AS21)="", "", IF(VLOOKUP(AS21,'Footnotes list'!$D$9:$E$58,2,FALSE)=0,"",VLOOKUP(AS21,'Footnotes list'!$D$9:$E$58,2,FALSE) ) )</f>
        <v/>
      </c>
      <c r="AU21" s="403" t="str">
        <f>IF(AND(TRIM(G21)="",TRIM(L21)="",TRIM(AA21)="",TRIM(AP21)=""),"",SUM(G21,L21,AA21,AP21))</f>
        <v/>
      </c>
      <c r="AV21" s="379"/>
      <c r="AW21" s="380"/>
      <c r="AX21" s="381"/>
      <c r="AY21" s="377" t="str">
        <f>IF(TRIM(AX21)="", "", IF(VLOOKUP(AX21,'Footnotes list'!$D$9:$E$58,2,FALSE)=0,"",VLOOKUP(AX21,'Footnotes list'!$D$9:$E$58,2,FALSE) ) )</f>
        <v/>
      </c>
    </row>
    <row r="22" spans="2:51" ht="15" customHeight="1" thickBot="1" x14ac:dyDescent="0.4">
      <c r="B22" s="536"/>
      <c r="C22" s="53" t="s">
        <v>114</v>
      </c>
      <c r="D22" s="530"/>
      <c r="E22" s="47" t="s">
        <v>146</v>
      </c>
      <c r="F22" s="54" t="s">
        <v>234</v>
      </c>
      <c r="G22" s="126" t="str">
        <f>IF(AND(TRIM(G20)="",TRIM(G21)=""),"",G20+G21)</f>
        <v/>
      </c>
      <c r="H22" s="379"/>
      <c r="I22" s="380"/>
      <c r="J22" s="381"/>
      <c r="K22" s="377" t="str">
        <f>IF(TRIM(J22)="", "", IF(VLOOKUP(J22,'Footnotes list'!$D$9:$E$58,2,FALSE)=0,"",VLOOKUP(J22,'Footnotes list'!$D$9:$E$58,2,FALSE) ) )</f>
        <v/>
      </c>
      <c r="L22" s="126" t="str">
        <f>IF(AND(TRIM(L20)="",TRIM(L21)=""),"",L20+L21)</f>
        <v/>
      </c>
      <c r="M22" s="379"/>
      <c r="N22" s="380"/>
      <c r="O22" s="381"/>
      <c r="P22" s="377" t="str">
        <f>IF(TRIM(O22)="", "", IF(VLOOKUP(O22,'Footnotes list'!$D$9:$E$58,2,FALSE)=0,"",VLOOKUP(O22,'Footnotes list'!$D$9:$E$58,2,FALSE) ) )</f>
        <v/>
      </c>
      <c r="Q22" s="126" t="str">
        <f>IF(AND(TRIM(Q20)="",TRIM(Q21)=""),"",Q20+Q21)</f>
        <v/>
      </c>
      <c r="R22" s="379"/>
      <c r="S22" s="380"/>
      <c r="T22" s="381"/>
      <c r="U22" s="377" t="str">
        <f>IF(TRIM(T22)="", "", IF(VLOOKUP(T22,'Footnotes list'!$D$9:$E$58,2,FALSE)=0,"",VLOOKUP(T22,'Footnotes list'!$D$9:$E$58,2,FALSE) ) )</f>
        <v/>
      </c>
      <c r="V22" s="126" t="str">
        <f>IF(AND(TRIM(V20)="",TRIM(V21)=""),"",V20+V21)</f>
        <v/>
      </c>
      <c r="W22" s="379"/>
      <c r="X22" s="380"/>
      <c r="Y22" s="381"/>
      <c r="Z22" s="377" t="str">
        <f>IF(TRIM(Y22)="", "", IF(VLOOKUP(Y22,'Footnotes list'!$D$9:$E$58,2,FALSE)=0,"",VLOOKUP(Y22,'Footnotes list'!$D$9:$E$58,2,FALSE) ) )</f>
        <v/>
      </c>
      <c r="AA22" s="126" t="str">
        <f>IF(AND(TRIM(AA20)="", TRIM(AA21)=""), "", SUM(AA20,AA21))</f>
        <v/>
      </c>
      <c r="AB22" s="379"/>
      <c r="AC22" s="380"/>
      <c r="AD22" s="381"/>
      <c r="AE22" s="377" t="str">
        <f>IF(TRIM(AD22)="", "", IF(VLOOKUP(AD22,'Footnotes list'!$D$9:$E$58,2,FALSE)=0,"",VLOOKUP(AD22,'Footnotes list'!$D$9:$E$58,2,FALSE) ) )</f>
        <v/>
      </c>
      <c r="AF22" s="126" t="str">
        <f>IF(AND(TRIM(AF20)="",TRIM(AF21)=""),"",AF20+AF21)</f>
        <v/>
      </c>
      <c r="AG22" s="379"/>
      <c r="AH22" s="380"/>
      <c r="AI22" s="381"/>
      <c r="AJ22" s="377" t="str">
        <f>IF(TRIM(AI22)="", "", IF(VLOOKUP(AI22,'Footnotes list'!$D$9:$E$58,2,FALSE)=0,"",VLOOKUP(AI22,'Footnotes list'!$D$9:$E$58,2,FALSE) ) )</f>
        <v/>
      </c>
      <c r="AK22" s="126" t="str">
        <f>IF(AND(TRIM(AK20)="",TRIM(AK21)=""),"",AK20+AK21)</f>
        <v/>
      </c>
      <c r="AL22" s="379"/>
      <c r="AM22" s="380"/>
      <c r="AN22" s="381"/>
      <c r="AO22" s="377" t="str">
        <f>IF(TRIM(AN22)="", "", IF(VLOOKUP(AN22,'Footnotes list'!$D$9:$E$58,2,FALSE)=0,"",VLOOKUP(AN22,'Footnotes list'!$D$9:$E$58,2,FALSE) ) )</f>
        <v/>
      </c>
      <c r="AP22" s="126" t="str">
        <f>IF(AND(TRIM(AP20)="", TRIM(AP21)=""), "", SUM(AP20,AP21))</f>
        <v/>
      </c>
      <c r="AQ22" s="379"/>
      <c r="AR22" s="380"/>
      <c r="AS22" s="381"/>
      <c r="AT22" s="377" t="str">
        <f>IF(TRIM(AS22)="", "", IF(VLOOKUP(AS22,'Footnotes list'!$D$9:$E$58,2,FALSE)=0,"",VLOOKUP(AS22,'Footnotes list'!$D$9:$E$58,2,FALSE) ) )</f>
        <v/>
      </c>
      <c r="AU22" s="126" t="str">
        <f>IF(AND(TRIM(AU20)="", TRIM(AU21)=""), "", SUM(AU20,AU21) )</f>
        <v/>
      </c>
      <c r="AV22" s="379"/>
      <c r="AW22" s="380"/>
      <c r="AX22" s="381"/>
      <c r="AY22" s="377" t="str">
        <f>IF(TRIM(AX22)="", "", IF(VLOOKUP(AX22,'Footnotes list'!$D$9:$E$58,2,FALSE)=0,"",VLOOKUP(AX22,'Footnotes list'!$D$9:$E$58,2,FALSE) ) )</f>
        <v/>
      </c>
    </row>
    <row r="23" spans="2:51" ht="15" customHeight="1" x14ac:dyDescent="0.35">
      <c r="B23" s="534" t="s">
        <v>115</v>
      </c>
      <c r="C23" s="41" t="s">
        <v>115</v>
      </c>
      <c r="D23" s="528" t="s">
        <v>157</v>
      </c>
      <c r="E23" s="42" t="s">
        <v>144</v>
      </c>
      <c r="F23" s="43" t="s">
        <v>151</v>
      </c>
      <c r="G23" s="372"/>
      <c r="H23" s="373"/>
      <c r="I23" s="374"/>
      <c r="J23" s="375"/>
      <c r="K23" s="376" t="str">
        <f>IF(TRIM(J23)="", "", IF(VLOOKUP(J23,'Footnotes list'!$D$9:$E$58,2,FALSE)=0,"",VLOOKUP(J23,'Footnotes list'!$D$9:$E$58,2,FALSE) ) )</f>
        <v/>
      </c>
      <c r="L23" s="372"/>
      <c r="M23" s="373"/>
      <c r="N23" s="374"/>
      <c r="O23" s="375"/>
      <c r="P23" s="376" t="str">
        <f>IF(TRIM(O23)="", "", IF(VLOOKUP(O23,'Footnotes list'!$D$9:$E$58,2,FALSE)=0,"",VLOOKUP(O23,'Footnotes list'!$D$9:$E$58,2,FALSE) ) )</f>
        <v/>
      </c>
      <c r="Q23" s="372"/>
      <c r="R23" s="373"/>
      <c r="S23" s="374"/>
      <c r="T23" s="375"/>
      <c r="U23" s="376" t="str">
        <f>IF(TRIM(T23)="", "", IF(VLOOKUP(T23,'Footnotes list'!$D$9:$E$58,2,FALSE)=0,"",VLOOKUP(T23,'Footnotes list'!$D$9:$E$58,2,FALSE) ) )</f>
        <v/>
      </c>
      <c r="V23" s="372"/>
      <c r="W23" s="373"/>
      <c r="X23" s="374"/>
      <c r="Y23" s="375"/>
      <c r="Z23" s="376" t="str">
        <f>IF(TRIM(Y23)="", "", IF(VLOOKUP(Y23,'Footnotes list'!$D$9:$E$58,2,FALSE)=0,"",VLOOKUP(Y23,'Footnotes list'!$D$9:$E$58,2,FALSE) ) )</f>
        <v/>
      </c>
      <c r="AA23" s="382" t="str">
        <f>IF(AND(TRIM(Q23)="",TRIM(V23)=""),"",Q23+V23)</f>
        <v/>
      </c>
      <c r="AB23" s="373"/>
      <c r="AC23" s="374"/>
      <c r="AD23" s="375"/>
      <c r="AE23" s="376" t="str">
        <f>IF(TRIM(AD23)="", "", IF(VLOOKUP(AD23,'Footnotes list'!$D$9:$E$58,2,FALSE)=0,"",VLOOKUP(AD23,'Footnotes list'!$D$9:$E$58,2,FALSE) ) )</f>
        <v/>
      </c>
      <c r="AF23" s="372"/>
      <c r="AG23" s="373"/>
      <c r="AH23" s="374"/>
      <c r="AI23" s="375"/>
      <c r="AJ23" s="376" t="str">
        <f>IF(TRIM(AI23)="", "", IF(VLOOKUP(AI23,'Footnotes list'!$D$9:$E$58,2,FALSE)=0,"",VLOOKUP(AI23,'Footnotes list'!$D$9:$E$58,2,FALSE) ) )</f>
        <v/>
      </c>
      <c r="AK23" s="372"/>
      <c r="AL23" s="373"/>
      <c r="AM23" s="374"/>
      <c r="AN23" s="375"/>
      <c r="AO23" s="376" t="str">
        <f>IF(TRIM(AN23)="", "", IF(VLOOKUP(AN23,'Footnotes list'!$D$9:$E$58,2,FALSE)=0,"",VLOOKUP(AN23,'Footnotes list'!$D$9:$E$58,2,FALSE) ) )</f>
        <v/>
      </c>
      <c r="AP23" s="382" t="str">
        <f>IF(AND(TRIM(AF23)="",TRIM(AK23)=""),"",AF23+AK23)</f>
        <v/>
      </c>
      <c r="AQ23" s="373"/>
      <c r="AR23" s="374"/>
      <c r="AS23" s="375"/>
      <c r="AT23" s="376" t="str">
        <f>IF(TRIM(AS23)="", "", IF(VLOOKUP(AS23,'Footnotes list'!$D$9:$E$58,2,FALSE)=0,"",VLOOKUP(AS23,'Footnotes list'!$D$9:$E$58,2,FALSE) ) )</f>
        <v/>
      </c>
      <c r="AU23" s="382" t="str">
        <f>IF(AND(TRIM(G23)="",TRIM(L23)="",TRIM(AA23)="",TRIM(AP23)=""),"",SUM(G23,L23,AA23,AP23))</f>
        <v/>
      </c>
      <c r="AV23" s="373"/>
      <c r="AW23" s="374"/>
      <c r="AX23" s="375"/>
      <c r="AY23" s="376" t="str">
        <f>IF(TRIM(AX23)="", "", IF(VLOOKUP(AX23,'Footnotes list'!$D$9:$E$58,2,FALSE)=0,"",VLOOKUP(AX23,'Footnotes list'!$D$9:$E$58,2,FALSE) ) )</f>
        <v/>
      </c>
    </row>
    <row r="24" spans="2:51" ht="15" customHeight="1" x14ac:dyDescent="0.35">
      <c r="B24" s="535"/>
      <c r="C24" s="50" t="s">
        <v>115</v>
      </c>
      <c r="D24" s="529"/>
      <c r="E24" s="51" t="s">
        <v>145</v>
      </c>
      <c r="F24" s="52" t="s">
        <v>152</v>
      </c>
      <c r="G24" s="378"/>
      <c r="H24" s="379"/>
      <c r="I24" s="380"/>
      <c r="J24" s="381"/>
      <c r="K24" s="377" t="str">
        <f>IF(TRIM(J24)="", "", IF(VLOOKUP(J24,'Footnotes list'!$D$9:$E$58,2,FALSE)=0,"",VLOOKUP(J24,'Footnotes list'!$D$9:$E$58,2,FALSE) ) )</f>
        <v/>
      </c>
      <c r="L24" s="378"/>
      <c r="M24" s="379"/>
      <c r="N24" s="380"/>
      <c r="O24" s="381"/>
      <c r="P24" s="377" t="str">
        <f>IF(TRIM(O24)="", "", IF(VLOOKUP(O24,'Footnotes list'!$D$9:$E$58,2,FALSE)=0,"",VLOOKUP(O24,'Footnotes list'!$D$9:$E$58,2,FALSE) ) )</f>
        <v/>
      </c>
      <c r="Q24" s="378"/>
      <c r="R24" s="379"/>
      <c r="S24" s="380"/>
      <c r="T24" s="381"/>
      <c r="U24" s="377" t="str">
        <f>IF(TRIM(T24)="", "", IF(VLOOKUP(T24,'Footnotes list'!$D$9:$E$58,2,FALSE)=0,"",VLOOKUP(T24,'Footnotes list'!$D$9:$E$58,2,FALSE) ) )</f>
        <v/>
      </c>
      <c r="V24" s="378"/>
      <c r="W24" s="379"/>
      <c r="X24" s="380"/>
      <c r="Y24" s="381"/>
      <c r="Z24" s="377" t="str">
        <f>IF(TRIM(Y24)="", "", IF(VLOOKUP(Y24,'Footnotes list'!$D$9:$E$58,2,FALSE)=0,"",VLOOKUP(Y24,'Footnotes list'!$D$9:$E$58,2,FALSE) ) )</f>
        <v/>
      </c>
      <c r="AA24" s="129" t="str">
        <f>IF(AND(TRIM(Q24)="",TRIM(V24)=""),"",Q24+V24)</f>
        <v/>
      </c>
      <c r="AB24" s="379"/>
      <c r="AC24" s="380"/>
      <c r="AD24" s="381"/>
      <c r="AE24" s="377" t="str">
        <f>IF(TRIM(AD24)="", "", IF(VLOOKUP(AD24,'Footnotes list'!$D$9:$E$58,2,FALSE)=0,"",VLOOKUP(AD24,'Footnotes list'!$D$9:$E$58,2,FALSE) ) )</f>
        <v/>
      </c>
      <c r="AF24" s="378"/>
      <c r="AG24" s="379"/>
      <c r="AH24" s="380"/>
      <c r="AI24" s="381"/>
      <c r="AJ24" s="377" t="str">
        <f>IF(TRIM(AI24)="", "", IF(VLOOKUP(AI24,'Footnotes list'!$D$9:$E$58,2,FALSE)=0,"",VLOOKUP(AI24,'Footnotes list'!$D$9:$E$58,2,FALSE) ) )</f>
        <v/>
      </c>
      <c r="AK24" s="378"/>
      <c r="AL24" s="379"/>
      <c r="AM24" s="380"/>
      <c r="AN24" s="381"/>
      <c r="AO24" s="377" t="str">
        <f>IF(TRIM(AN24)="", "", IF(VLOOKUP(AN24,'Footnotes list'!$D$9:$E$58,2,FALSE)=0,"",VLOOKUP(AN24,'Footnotes list'!$D$9:$E$58,2,FALSE) ) )</f>
        <v/>
      </c>
      <c r="AP24" s="129" t="str">
        <f>IF(AND(TRIM(AF24)="",TRIM(AK24)=""),"",AF24+AK24)</f>
        <v/>
      </c>
      <c r="AQ24" s="379"/>
      <c r="AR24" s="380"/>
      <c r="AS24" s="381"/>
      <c r="AT24" s="377" t="str">
        <f>IF(TRIM(AS24)="", "", IF(VLOOKUP(AS24,'Footnotes list'!$D$9:$E$58,2,FALSE)=0,"",VLOOKUP(AS24,'Footnotes list'!$D$9:$E$58,2,FALSE) ) )</f>
        <v/>
      </c>
      <c r="AU24" s="403" t="str">
        <f>IF(AND(TRIM(G24)="",TRIM(L24)="",TRIM(AA24)="",TRIM(AP24)=""),"",SUM(G24,L24,AA24,AP24))</f>
        <v/>
      </c>
      <c r="AV24" s="379"/>
      <c r="AW24" s="380"/>
      <c r="AX24" s="381"/>
      <c r="AY24" s="377" t="str">
        <f>IF(TRIM(AX24)="", "", IF(VLOOKUP(AX24,'Footnotes list'!$D$9:$E$58,2,FALSE)=0,"",VLOOKUP(AX24,'Footnotes list'!$D$9:$E$58,2,FALSE) ) )</f>
        <v/>
      </c>
    </row>
    <row r="25" spans="2:51" ht="15" customHeight="1" thickBot="1" x14ac:dyDescent="0.4">
      <c r="B25" s="536"/>
      <c r="C25" s="53" t="s">
        <v>115</v>
      </c>
      <c r="D25" s="530"/>
      <c r="E25" s="47" t="s">
        <v>146</v>
      </c>
      <c r="F25" s="54" t="s">
        <v>234</v>
      </c>
      <c r="G25" s="126" t="str">
        <f>IF(AND(TRIM(G23)="",TRIM(G24)=""),"",G23+G24)</f>
        <v/>
      </c>
      <c r="H25" s="379"/>
      <c r="I25" s="380"/>
      <c r="J25" s="381"/>
      <c r="K25" s="377" t="str">
        <f>IF(TRIM(J25)="", "", IF(VLOOKUP(J25,'Footnotes list'!$D$9:$E$58,2,FALSE)=0,"",VLOOKUP(J25,'Footnotes list'!$D$9:$E$58,2,FALSE) ) )</f>
        <v/>
      </c>
      <c r="L25" s="126" t="str">
        <f>IF(AND(TRIM(L23)="",TRIM(L24)=""),"",L23+L24)</f>
        <v/>
      </c>
      <c r="M25" s="379"/>
      <c r="N25" s="380"/>
      <c r="O25" s="381"/>
      <c r="P25" s="377" t="str">
        <f>IF(TRIM(O25)="", "", IF(VLOOKUP(O25,'Footnotes list'!$D$9:$E$58,2,FALSE)=0,"",VLOOKUP(O25,'Footnotes list'!$D$9:$E$58,2,FALSE) ) )</f>
        <v/>
      </c>
      <c r="Q25" s="126" t="str">
        <f>IF(AND(TRIM(Q23)="",TRIM(Q24)=""),"",Q23+Q24)</f>
        <v/>
      </c>
      <c r="R25" s="379"/>
      <c r="S25" s="380"/>
      <c r="T25" s="381"/>
      <c r="U25" s="377" t="str">
        <f>IF(TRIM(T25)="", "", IF(VLOOKUP(T25,'Footnotes list'!$D$9:$E$58,2,FALSE)=0,"",VLOOKUP(T25,'Footnotes list'!$D$9:$E$58,2,FALSE) ) )</f>
        <v/>
      </c>
      <c r="V25" s="126" t="str">
        <f>IF(AND(TRIM(V23)="",TRIM(V24)=""),"",V23+V24)</f>
        <v/>
      </c>
      <c r="W25" s="379"/>
      <c r="X25" s="380"/>
      <c r="Y25" s="381"/>
      <c r="Z25" s="377" t="str">
        <f>IF(TRIM(Y25)="", "", IF(VLOOKUP(Y25,'Footnotes list'!$D$9:$E$58,2,FALSE)=0,"",VLOOKUP(Y25,'Footnotes list'!$D$9:$E$58,2,FALSE) ) )</f>
        <v/>
      </c>
      <c r="AA25" s="126" t="str">
        <f>IF(AND(TRIM(AA23)="", TRIM(AA24)=""), "", SUM(AA23,AA24))</f>
        <v/>
      </c>
      <c r="AB25" s="379"/>
      <c r="AC25" s="380"/>
      <c r="AD25" s="381"/>
      <c r="AE25" s="377" t="str">
        <f>IF(TRIM(AD25)="", "", IF(VLOOKUP(AD25,'Footnotes list'!$D$9:$E$58,2,FALSE)=0,"",VLOOKUP(AD25,'Footnotes list'!$D$9:$E$58,2,FALSE) ) )</f>
        <v/>
      </c>
      <c r="AF25" s="126" t="str">
        <f>IF(AND(TRIM(AF23)="",TRIM(AF24)=""),"",AF23+AF24)</f>
        <v/>
      </c>
      <c r="AG25" s="379"/>
      <c r="AH25" s="380"/>
      <c r="AI25" s="381"/>
      <c r="AJ25" s="377" t="str">
        <f>IF(TRIM(AI25)="", "", IF(VLOOKUP(AI25,'Footnotes list'!$D$9:$E$58,2,FALSE)=0,"",VLOOKUP(AI25,'Footnotes list'!$D$9:$E$58,2,FALSE) ) )</f>
        <v/>
      </c>
      <c r="AK25" s="126" t="str">
        <f>IF(AND(TRIM(AK23)="",TRIM(AK24)=""),"",AK23+AK24)</f>
        <v/>
      </c>
      <c r="AL25" s="379"/>
      <c r="AM25" s="380"/>
      <c r="AN25" s="381"/>
      <c r="AO25" s="377" t="str">
        <f>IF(TRIM(AN25)="", "", IF(VLOOKUP(AN25,'Footnotes list'!$D$9:$E$58,2,FALSE)=0,"",VLOOKUP(AN25,'Footnotes list'!$D$9:$E$58,2,FALSE) ) )</f>
        <v/>
      </c>
      <c r="AP25" s="126" t="str">
        <f>IF(AND(TRIM(AP23)="", TRIM(AP24)=""), "", SUM(AP23,AP24))</f>
        <v/>
      </c>
      <c r="AQ25" s="379"/>
      <c r="AR25" s="380"/>
      <c r="AS25" s="381"/>
      <c r="AT25" s="377" t="str">
        <f>IF(TRIM(AS25)="", "", IF(VLOOKUP(AS25,'Footnotes list'!$D$9:$E$58,2,FALSE)=0,"",VLOOKUP(AS25,'Footnotes list'!$D$9:$E$58,2,FALSE) ) )</f>
        <v/>
      </c>
      <c r="AU25" s="126" t="str">
        <f>IF(AND(TRIM(AU23)="", TRIM(AU24)=""), "", SUM(AU23,AU24) )</f>
        <v/>
      </c>
      <c r="AV25" s="379"/>
      <c r="AW25" s="380"/>
      <c r="AX25" s="381"/>
      <c r="AY25" s="377" t="str">
        <f>IF(TRIM(AX25)="", "", IF(VLOOKUP(AX25,'Footnotes list'!$D$9:$E$58,2,FALSE)=0,"",VLOOKUP(AX25,'Footnotes list'!$D$9:$E$58,2,FALSE) ) )</f>
        <v/>
      </c>
    </row>
    <row r="26" spans="2:51" ht="15" customHeight="1" x14ac:dyDescent="0.35">
      <c r="B26" s="534" t="s">
        <v>116</v>
      </c>
      <c r="C26" s="41" t="s">
        <v>116</v>
      </c>
      <c r="D26" s="528" t="s">
        <v>83</v>
      </c>
      <c r="E26" s="42" t="s">
        <v>144</v>
      </c>
      <c r="F26" s="43" t="s">
        <v>151</v>
      </c>
      <c r="G26" s="372"/>
      <c r="H26" s="373"/>
      <c r="I26" s="374"/>
      <c r="J26" s="375"/>
      <c r="K26" s="376" t="str">
        <f>IF(TRIM(J26)="", "", IF(VLOOKUP(J26,'Footnotes list'!$D$9:$E$58,2,FALSE)=0,"",VLOOKUP(J26,'Footnotes list'!$D$9:$E$58,2,FALSE) ) )</f>
        <v/>
      </c>
      <c r="L26" s="372"/>
      <c r="M26" s="373"/>
      <c r="N26" s="374"/>
      <c r="O26" s="375"/>
      <c r="P26" s="376" t="str">
        <f>IF(TRIM(O26)="", "", IF(VLOOKUP(O26,'Footnotes list'!$D$9:$E$58,2,FALSE)=0,"",VLOOKUP(O26,'Footnotes list'!$D$9:$E$58,2,FALSE) ) )</f>
        <v/>
      </c>
      <c r="Q26" s="372"/>
      <c r="R26" s="373"/>
      <c r="S26" s="374"/>
      <c r="T26" s="375"/>
      <c r="U26" s="376" t="str">
        <f>IF(TRIM(T26)="", "", IF(VLOOKUP(T26,'Footnotes list'!$D$9:$E$58,2,FALSE)=0,"",VLOOKUP(T26,'Footnotes list'!$D$9:$E$58,2,FALSE) ) )</f>
        <v/>
      </c>
      <c r="V26" s="372"/>
      <c r="W26" s="373"/>
      <c r="X26" s="374"/>
      <c r="Y26" s="375"/>
      <c r="Z26" s="376" t="str">
        <f>IF(TRIM(Y26)="", "", IF(VLOOKUP(Y26,'Footnotes list'!$D$9:$E$58,2,FALSE)=0,"",VLOOKUP(Y26,'Footnotes list'!$D$9:$E$58,2,FALSE) ) )</f>
        <v/>
      </c>
      <c r="AA26" s="382" t="str">
        <f>IF(AND(TRIM(Q26)="",TRIM(V26)=""),"",Q26+V26)</f>
        <v/>
      </c>
      <c r="AB26" s="373"/>
      <c r="AC26" s="374"/>
      <c r="AD26" s="375"/>
      <c r="AE26" s="376" t="str">
        <f>IF(TRIM(AD26)="", "", IF(VLOOKUP(AD26,'Footnotes list'!$D$9:$E$58,2,FALSE)=0,"",VLOOKUP(AD26,'Footnotes list'!$D$9:$E$58,2,FALSE) ) )</f>
        <v/>
      </c>
      <c r="AF26" s="372"/>
      <c r="AG26" s="373"/>
      <c r="AH26" s="374"/>
      <c r="AI26" s="375"/>
      <c r="AJ26" s="376" t="str">
        <f>IF(TRIM(AI26)="", "", IF(VLOOKUP(AI26,'Footnotes list'!$D$9:$E$58,2,FALSE)=0,"",VLOOKUP(AI26,'Footnotes list'!$D$9:$E$58,2,FALSE) ) )</f>
        <v/>
      </c>
      <c r="AK26" s="372"/>
      <c r="AL26" s="373"/>
      <c r="AM26" s="374"/>
      <c r="AN26" s="375"/>
      <c r="AO26" s="376" t="str">
        <f>IF(TRIM(AN26)="", "", IF(VLOOKUP(AN26,'Footnotes list'!$D$9:$E$58,2,FALSE)=0,"",VLOOKUP(AN26,'Footnotes list'!$D$9:$E$58,2,FALSE) ) )</f>
        <v/>
      </c>
      <c r="AP26" s="382" t="str">
        <f>IF(AND(TRIM(AF26)="",TRIM(AK26)=""),"",AF26+AK26)</f>
        <v/>
      </c>
      <c r="AQ26" s="373"/>
      <c r="AR26" s="374"/>
      <c r="AS26" s="375"/>
      <c r="AT26" s="376" t="str">
        <f>IF(TRIM(AS26)="", "", IF(VLOOKUP(AS26,'Footnotes list'!$D$9:$E$58,2,FALSE)=0,"",VLOOKUP(AS26,'Footnotes list'!$D$9:$E$58,2,FALSE) ) )</f>
        <v/>
      </c>
      <c r="AU26" s="382" t="str">
        <f>IF(AND(TRIM(G26)="",TRIM(L26)="",TRIM(AA26)="",TRIM(AP26)=""),"",SUM(G26,L26,AA26,AP26))</f>
        <v/>
      </c>
      <c r="AV26" s="373"/>
      <c r="AW26" s="374"/>
      <c r="AX26" s="375"/>
      <c r="AY26" s="376" t="str">
        <f>IF(TRIM(AX26)="", "", IF(VLOOKUP(AX26,'Footnotes list'!$D$9:$E$58,2,FALSE)=0,"",VLOOKUP(AX26,'Footnotes list'!$D$9:$E$58,2,FALSE) ) )</f>
        <v/>
      </c>
    </row>
    <row r="27" spans="2:51" ht="15" customHeight="1" x14ac:dyDescent="0.35">
      <c r="B27" s="535"/>
      <c r="C27" s="50" t="s">
        <v>116</v>
      </c>
      <c r="D27" s="529"/>
      <c r="E27" s="51" t="s">
        <v>145</v>
      </c>
      <c r="F27" s="52" t="s">
        <v>152</v>
      </c>
      <c r="G27" s="378"/>
      <c r="H27" s="379"/>
      <c r="I27" s="380"/>
      <c r="J27" s="381"/>
      <c r="K27" s="377" t="str">
        <f>IF(TRIM(J27)="", "", IF(VLOOKUP(J27,'Footnotes list'!$D$9:$E$58,2,FALSE)=0,"",VLOOKUP(J27,'Footnotes list'!$D$9:$E$58,2,FALSE) ) )</f>
        <v/>
      </c>
      <c r="L27" s="378"/>
      <c r="M27" s="379"/>
      <c r="N27" s="380"/>
      <c r="O27" s="381"/>
      <c r="P27" s="377" t="str">
        <f>IF(TRIM(O27)="", "", IF(VLOOKUP(O27,'Footnotes list'!$D$9:$E$58,2,FALSE)=0,"",VLOOKUP(O27,'Footnotes list'!$D$9:$E$58,2,FALSE) ) )</f>
        <v/>
      </c>
      <c r="Q27" s="378"/>
      <c r="R27" s="379"/>
      <c r="S27" s="380"/>
      <c r="T27" s="381"/>
      <c r="U27" s="377" t="str">
        <f>IF(TRIM(T27)="", "", IF(VLOOKUP(T27,'Footnotes list'!$D$9:$E$58,2,FALSE)=0,"",VLOOKUP(T27,'Footnotes list'!$D$9:$E$58,2,FALSE) ) )</f>
        <v/>
      </c>
      <c r="V27" s="378"/>
      <c r="W27" s="379"/>
      <c r="X27" s="380"/>
      <c r="Y27" s="381"/>
      <c r="Z27" s="377" t="str">
        <f>IF(TRIM(Y27)="", "", IF(VLOOKUP(Y27,'Footnotes list'!$D$9:$E$58,2,FALSE)=0,"",VLOOKUP(Y27,'Footnotes list'!$D$9:$E$58,2,FALSE) ) )</f>
        <v/>
      </c>
      <c r="AA27" s="129" t="str">
        <f>IF(AND(TRIM(Q27)="",TRIM(V27)=""),"",Q27+V27)</f>
        <v/>
      </c>
      <c r="AB27" s="379"/>
      <c r="AC27" s="380"/>
      <c r="AD27" s="381"/>
      <c r="AE27" s="377" t="str">
        <f>IF(TRIM(AD27)="", "", IF(VLOOKUP(AD27,'Footnotes list'!$D$9:$E$58,2,FALSE)=0,"",VLOOKUP(AD27,'Footnotes list'!$D$9:$E$58,2,FALSE) ) )</f>
        <v/>
      </c>
      <c r="AF27" s="378"/>
      <c r="AG27" s="379"/>
      <c r="AH27" s="380"/>
      <c r="AI27" s="381"/>
      <c r="AJ27" s="377" t="str">
        <f>IF(TRIM(AI27)="", "", IF(VLOOKUP(AI27,'Footnotes list'!$D$9:$E$58,2,FALSE)=0,"",VLOOKUP(AI27,'Footnotes list'!$D$9:$E$58,2,FALSE) ) )</f>
        <v/>
      </c>
      <c r="AK27" s="378"/>
      <c r="AL27" s="379"/>
      <c r="AM27" s="380"/>
      <c r="AN27" s="381"/>
      <c r="AO27" s="377" t="str">
        <f>IF(TRIM(AN27)="", "", IF(VLOOKUP(AN27,'Footnotes list'!$D$9:$E$58,2,FALSE)=0,"",VLOOKUP(AN27,'Footnotes list'!$D$9:$E$58,2,FALSE) ) )</f>
        <v/>
      </c>
      <c r="AP27" s="129" t="str">
        <f>IF(AND(TRIM(AF27)="",TRIM(AK27)=""),"",AF27+AK27)</f>
        <v/>
      </c>
      <c r="AQ27" s="379"/>
      <c r="AR27" s="380"/>
      <c r="AS27" s="381"/>
      <c r="AT27" s="377" t="str">
        <f>IF(TRIM(AS27)="", "", IF(VLOOKUP(AS27,'Footnotes list'!$D$9:$E$58,2,FALSE)=0,"",VLOOKUP(AS27,'Footnotes list'!$D$9:$E$58,2,FALSE) ) )</f>
        <v/>
      </c>
      <c r="AU27" s="403" t="str">
        <f>IF(AND(TRIM(G27)="",TRIM(L27)="",TRIM(AA27)="",TRIM(AP27)=""),"",SUM(G27,L27,AA27,AP27))</f>
        <v/>
      </c>
      <c r="AV27" s="379"/>
      <c r="AW27" s="380"/>
      <c r="AX27" s="381"/>
      <c r="AY27" s="377" t="str">
        <f>IF(TRIM(AX27)="", "", IF(VLOOKUP(AX27,'Footnotes list'!$D$9:$E$58,2,FALSE)=0,"",VLOOKUP(AX27,'Footnotes list'!$D$9:$E$58,2,FALSE) ) )</f>
        <v/>
      </c>
    </row>
    <row r="28" spans="2:51" ht="15" customHeight="1" thickBot="1" x14ac:dyDescent="0.4">
      <c r="B28" s="536"/>
      <c r="C28" s="53" t="s">
        <v>116</v>
      </c>
      <c r="D28" s="530"/>
      <c r="E28" s="47" t="s">
        <v>146</v>
      </c>
      <c r="F28" s="54" t="s">
        <v>234</v>
      </c>
      <c r="G28" s="126" t="str">
        <f>IF(AND(TRIM(G26)="",TRIM(G27)=""),"",G26+G27)</f>
        <v/>
      </c>
      <c r="H28" s="379"/>
      <c r="I28" s="380"/>
      <c r="J28" s="381"/>
      <c r="K28" s="377" t="str">
        <f>IF(TRIM(J28)="", "", IF(VLOOKUP(J28,'Footnotes list'!$D$9:$E$58,2,FALSE)=0,"",VLOOKUP(J28,'Footnotes list'!$D$9:$E$58,2,FALSE) ) )</f>
        <v/>
      </c>
      <c r="L28" s="126" t="str">
        <f>IF(AND(TRIM(L26)="",TRIM(L27)=""),"",L26+L27)</f>
        <v/>
      </c>
      <c r="M28" s="379"/>
      <c r="N28" s="380"/>
      <c r="O28" s="381"/>
      <c r="P28" s="377" t="str">
        <f>IF(TRIM(O28)="", "", IF(VLOOKUP(O28,'Footnotes list'!$D$9:$E$58,2,FALSE)=0,"",VLOOKUP(O28,'Footnotes list'!$D$9:$E$58,2,FALSE) ) )</f>
        <v/>
      </c>
      <c r="Q28" s="126" t="str">
        <f>IF(AND(TRIM(Q26)="",TRIM(Q27)=""),"",Q26+Q27)</f>
        <v/>
      </c>
      <c r="R28" s="379"/>
      <c r="S28" s="380"/>
      <c r="T28" s="381"/>
      <c r="U28" s="377" t="str">
        <f>IF(TRIM(T28)="", "", IF(VLOOKUP(T28,'Footnotes list'!$D$9:$E$58,2,FALSE)=0,"",VLOOKUP(T28,'Footnotes list'!$D$9:$E$58,2,FALSE) ) )</f>
        <v/>
      </c>
      <c r="V28" s="126" t="str">
        <f>IF(AND(TRIM(V26)="",TRIM(V27)=""),"",V26+V27)</f>
        <v/>
      </c>
      <c r="W28" s="379"/>
      <c r="X28" s="380"/>
      <c r="Y28" s="381"/>
      <c r="Z28" s="377" t="str">
        <f>IF(TRIM(Y28)="", "", IF(VLOOKUP(Y28,'Footnotes list'!$D$9:$E$58,2,FALSE)=0,"",VLOOKUP(Y28,'Footnotes list'!$D$9:$E$58,2,FALSE) ) )</f>
        <v/>
      </c>
      <c r="AA28" s="126" t="str">
        <f>IF(AND(TRIM(AA26)="", TRIM(AA27)=""), "", SUM(AA26,AA27))</f>
        <v/>
      </c>
      <c r="AB28" s="379"/>
      <c r="AC28" s="380"/>
      <c r="AD28" s="381"/>
      <c r="AE28" s="377" t="str">
        <f>IF(TRIM(AD28)="", "", IF(VLOOKUP(AD28,'Footnotes list'!$D$9:$E$58,2,FALSE)=0,"",VLOOKUP(AD28,'Footnotes list'!$D$9:$E$58,2,FALSE) ) )</f>
        <v/>
      </c>
      <c r="AF28" s="126" t="str">
        <f>IF(AND(TRIM(AF26)="",TRIM(AF27)=""),"",AF26+AF27)</f>
        <v/>
      </c>
      <c r="AG28" s="379"/>
      <c r="AH28" s="380"/>
      <c r="AI28" s="381"/>
      <c r="AJ28" s="377" t="str">
        <f>IF(TRIM(AI28)="", "", IF(VLOOKUP(AI28,'Footnotes list'!$D$9:$E$58,2,FALSE)=0,"",VLOOKUP(AI28,'Footnotes list'!$D$9:$E$58,2,FALSE) ) )</f>
        <v/>
      </c>
      <c r="AK28" s="126" t="str">
        <f>IF(AND(TRIM(AK26)="",TRIM(AK27)=""),"",AK26+AK27)</f>
        <v/>
      </c>
      <c r="AL28" s="379"/>
      <c r="AM28" s="380"/>
      <c r="AN28" s="381"/>
      <c r="AO28" s="377" t="str">
        <f>IF(TRIM(AN28)="", "", IF(VLOOKUP(AN28,'Footnotes list'!$D$9:$E$58,2,FALSE)=0,"",VLOOKUP(AN28,'Footnotes list'!$D$9:$E$58,2,FALSE) ) )</f>
        <v/>
      </c>
      <c r="AP28" s="126" t="str">
        <f>IF(AND(TRIM(AP26)="", TRIM(AP27)=""), "", SUM(AP26,AP27))</f>
        <v/>
      </c>
      <c r="AQ28" s="379"/>
      <c r="AR28" s="380"/>
      <c r="AS28" s="381"/>
      <c r="AT28" s="377" t="str">
        <f>IF(TRIM(AS28)="", "", IF(VLOOKUP(AS28,'Footnotes list'!$D$9:$E$58,2,FALSE)=0,"",VLOOKUP(AS28,'Footnotes list'!$D$9:$E$58,2,FALSE) ) )</f>
        <v/>
      </c>
      <c r="AU28" s="126" t="str">
        <f>IF(AND(TRIM(AU26)="", TRIM(AU27)=""), "", SUM(AU26,AU27) )</f>
        <v/>
      </c>
      <c r="AV28" s="379"/>
      <c r="AW28" s="380"/>
      <c r="AX28" s="381"/>
      <c r="AY28" s="377" t="str">
        <f>IF(TRIM(AX28)="", "", IF(VLOOKUP(AX28,'Footnotes list'!$D$9:$E$58,2,FALSE)=0,"",VLOOKUP(AX28,'Footnotes list'!$D$9:$E$58,2,FALSE) ) )</f>
        <v/>
      </c>
    </row>
    <row r="29" spans="2:51" ht="15" customHeight="1" thickBot="1" x14ac:dyDescent="0.4">
      <c r="B29" s="534" t="s">
        <v>117</v>
      </c>
      <c r="C29" s="55"/>
      <c r="D29" s="528" t="s">
        <v>84</v>
      </c>
      <c r="E29" s="55"/>
      <c r="F29" s="45" t="s">
        <v>233</v>
      </c>
      <c r="G29" s="125"/>
      <c r="H29" s="26"/>
      <c r="I29" s="26"/>
      <c r="J29" s="26"/>
      <c r="K29" s="27"/>
      <c r="L29" s="125"/>
      <c r="M29" s="26"/>
      <c r="N29" s="26"/>
      <c r="O29" s="26"/>
      <c r="P29" s="27"/>
      <c r="Q29" s="125"/>
      <c r="R29" s="26"/>
      <c r="S29" s="26"/>
      <c r="T29" s="26"/>
      <c r="U29" s="27"/>
      <c r="V29" s="125"/>
      <c r="W29" s="26"/>
      <c r="X29" s="26"/>
      <c r="Y29" s="26"/>
      <c r="Z29" s="27"/>
      <c r="AA29" s="125"/>
      <c r="AB29" s="26"/>
      <c r="AC29" s="26"/>
      <c r="AD29" s="26"/>
      <c r="AE29" s="27"/>
      <c r="AF29" s="125"/>
      <c r="AG29" s="26"/>
      <c r="AH29" s="26"/>
      <c r="AI29" s="26"/>
      <c r="AJ29" s="27"/>
      <c r="AK29" s="125"/>
      <c r="AL29" s="26"/>
      <c r="AM29" s="26"/>
      <c r="AN29" s="26"/>
      <c r="AO29" s="27"/>
      <c r="AP29" s="125"/>
      <c r="AQ29" s="26"/>
      <c r="AR29" s="26"/>
      <c r="AS29" s="26"/>
      <c r="AT29" s="27"/>
      <c r="AU29" s="125"/>
      <c r="AV29" s="26"/>
      <c r="AW29" s="26"/>
      <c r="AX29" s="26"/>
      <c r="AY29" s="27"/>
    </row>
    <row r="30" spans="2:51" ht="15" customHeight="1" x14ac:dyDescent="0.35">
      <c r="B30" s="535"/>
      <c r="C30" s="50" t="s">
        <v>117</v>
      </c>
      <c r="D30" s="529"/>
      <c r="E30" s="51" t="s">
        <v>145</v>
      </c>
      <c r="F30" s="52" t="s">
        <v>152</v>
      </c>
      <c r="G30" s="378"/>
      <c r="H30" s="379"/>
      <c r="I30" s="380"/>
      <c r="J30" s="381"/>
      <c r="K30" s="377" t="str">
        <f>IF(TRIM(J30)="", "", IF(VLOOKUP(J30,'Footnotes list'!$D$9:$E$58,2,FALSE)=0,"",VLOOKUP(J30,'Footnotes list'!$D$9:$E$58,2,FALSE) ) )</f>
        <v/>
      </c>
      <c r="L30" s="378"/>
      <c r="M30" s="379"/>
      <c r="N30" s="380"/>
      <c r="O30" s="381"/>
      <c r="P30" s="377" t="str">
        <f>IF(TRIM(O30)="", "", IF(VLOOKUP(O30,'Footnotes list'!$D$9:$E$58,2,FALSE)=0,"",VLOOKUP(O30,'Footnotes list'!$D$9:$E$58,2,FALSE) ) )</f>
        <v/>
      </c>
      <c r="Q30" s="378"/>
      <c r="R30" s="379"/>
      <c r="S30" s="380"/>
      <c r="T30" s="381"/>
      <c r="U30" s="377" t="str">
        <f>IF(TRIM(T30)="", "", IF(VLOOKUP(T30,'Footnotes list'!$D$9:$E$58,2,FALSE)=0,"",VLOOKUP(T30,'Footnotes list'!$D$9:$E$58,2,FALSE) ) )</f>
        <v/>
      </c>
      <c r="V30" s="378"/>
      <c r="W30" s="379"/>
      <c r="X30" s="380"/>
      <c r="Y30" s="381"/>
      <c r="Z30" s="377" t="str">
        <f>IF(TRIM(Y30)="", "", IF(VLOOKUP(Y30,'Footnotes list'!$D$9:$E$58,2,FALSE)=0,"",VLOOKUP(Y30,'Footnotes list'!$D$9:$E$58,2,FALSE) ) )</f>
        <v/>
      </c>
      <c r="AA30" s="129" t="str">
        <f>IF(AND(TRIM(Q30)="",TRIM(V30)=""),"",Q30+V30)</f>
        <v/>
      </c>
      <c r="AB30" s="379"/>
      <c r="AC30" s="380"/>
      <c r="AD30" s="381"/>
      <c r="AE30" s="377" t="str">
        <f>IF(TRIM(AD30)="", "", IF(VLOOKUP(AD30,'Footnotes list'!$D$9:$E$58,2,FALSE)=0,"",VLOOKUP(AD30,'Footnotes list'!$D$9:$E$58,2,FALSE) ) )</f>
        <v/>
      </c>
      <c r="AF30" s="378"/>
      <c r="AG30" s="379"/>
      <c r="AH30" s="380"/>
      <c r="AI30" s="381"/>
      <c r="AJ30" s="377" t="str">
        <f>IF(TRIM(AI30)="", "", IF(VLOOKUP(AI30,'Footnotes list'!$D$9:$E$58,2,FALSE)=0,"",VLOOKUP(AI30,'Footnotes list'!$D$9:$E$58,2,FALSE) ) )</f>
        <v/>
      </c>
      <c r="AK30" s="378"/>
      <c r="AL30" s="379"/>
      <c r="AM30" s="380"/>
      <c r="AN30" s="381"/>
      <c r="AO30" s="377" t="str">
        <f>IF(TRIM(AN30)="", "", IF(VLOOKUP(AN30,'Footnotes list'!$D$9:$E$58,2,FALSE)=0,"",VLOOKUP(AN30,'Footnotes list'!$D$9:$E$58,2,FALSE) ) )</f>
        <v/>
      </c>
      <c r="AP30" s="129" t="str">
        <f>IF(AND(TRIM(AF30)="",TRIM(AK30)=""),"",AF30+AK30)</f>
        <v/>
      </c>
      <c r="AQ30" s="379"/>
      <c r="AR30" s="380"/>
      <c r="AS30" s="381"/>
      <c r="AT30" s="377" t="str">
        <f>IF(TRIM(AS30)="", "", IF(VLOOKUP(AS30,'Footnotes list'!$D$9:$E$58,2,FALSE)=0,"",VLOOKUP(AS30,'Footnotes list'!$D$9:$E$58,2,FALSE) ) )</f>
        <v/>
      </c>
      <c r="AU30" s="403" t="str">
        <f>IF(AND(TRIM(G30)="",TRIM(L30)="",TRIM(AA30)="",TRIM(AP30)=""),"",SUM(G30,L30,AA30,AP30))</f>
        <v/>
      </c>
      <c r="AV30" s="379"/>
      <c r="AW30" s="380"/>
      <c r="AX30" s="381"/>
      <c r="AY30" s="377" t="str">
        <f>IF(TRIM(AX30)="", "", IF(VLOOKUP(AX30,'Footnotes list'!$D$9:$E$58,2,FALSE)=0,"",VLOOKUP(AX30,'Footnotes list'!$D$9:$E$58,2,FALSE) ) )</f>
        <v/>
      </c>
    </row>
    <row r="31" spans="2:51" ht="15" customHeight="1" thickBot="1" x14ac:dyDescent="0.4">
      <c r="B31" s="536"/>
      <c r="C31" s="53" t="s">
        <v>117</v>
      </c>
      <c r="D31" s="530"/>
      <c r="E31" s="47" t="s">
        <v>146</v>
      </c>
      <c r="F31" s="54" t="s">
        <v>234</v>
      </c>
      <c r="G31" s="126" t="str">
        <f>IF(AND(TRIM(G29)="",TRIM(G30)=""),"",G29+G30)</f>
        <v/>
      </c>
      <c r="H31" s="379"/>
      <c r="I31" s="380"/>
      <c r="J31" s="381"/>
      <c r="K31" s="377" t="str">
        <f>IF(TRIM(J31)="", "", IF(VLOOKUP(J31,'Footnotes list'!$D$9:$E$58,2,FALSE)=0,"",VLOOKUP(J31,'Footnotes list'!$D$9:$E$58,2,FALSE) ) )</f>
        <v/>
      </c>
      <c r="L31" s="126" t="str">
        <f>IF(AND(TRIM(L29)="",TRIM(L30)=""),"",L29+L30)</f>
        <v/>
      </c>
      <c r="M31" s="379"/>
      <c r="N31" s="380"/>
      <c r="O31" s="381"/>
      <c r="P31" s="377" t="str">
        <f>IF(TRIM(O31)="", "", IF(VLOOKUP(O31,'Footnotes list'!$D$9:$E$58,2,FALSE)=0,"",VLOOKUP(O31,'Footnotes list'!$D$9:$E$58,2,FALSE) ) )</f>
        <v/>
      </c>
      <c r="Q31" s="126" t="str">
        <f>IF(AND(TRIM(Q29)="",TRIM(Q30)=""),"",Q29+Q30)</f>
        <v/>
      </c>
      <c r="R31" s="379"/>
      <c r="S31" s="380"/>
      <c r="T31" s="381"/>
      <c r="U31" s="377" t="str">
        <f>IF(TRIM(T31)="", "", IF(VLOOKUP(T31,'Footnotes list'!$D$9:$E$58,2,FALSE)=0,"",VLOOKUP(T31,'Footnotes list'!$D$9:$E$58,2,FALSE) ) )</f>
        <v/>
      </c>
      <c r="V31" s="126" t="str">
        <f>IF(AND(TRIM(V29)="",TRIM(V30)=""),"",V29+V30)</f>
        <v/>
      </c>
      <c r="W31" s="379"/>
      <c r="X31" s="380"/>
      <c r="Y31" s="381"/>
      <c r="Z31" s="377" t="str">
        <f>IF(TRIM(Y31)="", "", IF(VLOOKUP(Y31,'Footnotes list'!$D$9:$E$58,2,FALSE)=0,"",VLOOKUP(Y31,'Footnotes list'!$D$9:$E$58,2,FALSE) ) )</f>
        <v/>
      </c>
      <c r="AA31" s="126" t="str">
        <f>IF(AND(TRIM(AA29)="", TRIM(AA30)=""), "", SUM(AA29,AA30))</f>
        <v/>
      </c>
      <c r="AB31" s="379"/>
      <c r="AC31" s="380"/>
      <c r="AD31" s="381"/>
      <c r="AE31" s="377" t="str">
        <f>IF(TRIM(AD31)="", "", IF(VLOOKUP(AD31,'Footnotes list'!$D$9:$E$58,2,FALSE)=0,"",VLOOKUP(AD31,'Footnotes list'!$D$9:$E$58,2,FALSE) ) )</f>
        <v/>
      </c>
      <c r="AF31" s="126" t="str">
        <f>IF(AND(TRIM(AF29)="",TRIM(AF30)=""),"",AF29+AF30)</f>
        <v/>
      </c>
      <c r="AG31" s="379"/>
      <c r="AH31" s="380"/>
      <c r="AI31" s="381"/>
      <c r="AJ31" s="377" t="str">
        <f>IF(TRIM(AI31)="", "", IF(VLOOKUP(AI31,'Footnotes list'!$D$9:$E$58,2,FALSE)=0,"",VLOOKUP(AI31,'Footnotes list'!$D$9:$E$58,2,FALSE) ) )</f>
        <v/>
      </c>
      <c r="AK31" s="126" t="str">
        <f>IF(AND(TRIM(AK29)="",TRIM(AK30)=""),"",AK29+AK30)</f>
        <v/>
      </c>
      <c r="AL31" s="379"/>
      <c r="AM31" s="380"/>
      <c r="AN31" s="381"/>
      <c r="AO31" s="377" t="str">
        <f>IF(TRIM(AN31)="", "", IF(VLOOKUP(AN31,'Footnotes list'!$D$9:$E$58,2,FALSE)=0,"",VLOOKUP(AN31,'Footnotes list'!$D$9:$E$58,2,FALSE) ) )</f>
        <v/>
      </c>
      <c r="AP31" s="126" t="str">
        <f>IF(AND(TRIM(AP29)="", TRIM(AP30)=""), "", SUM(AP29,AP30))</f>
        <v/>
      </c>
      <c r="AQ31" s="379"/>
      <c r="AR31" s="380"/>
      <c r="AS31" s="381"/>
      <c r="AT31" s="377" t="str">
        <f>IF(TRIM(AS31)="", "", IF(VLOOKUP(AS31,'Footnotes list'!$D$9:$E$58,2,FALSE)=0,"",VLOOKUP(AS31,'Footnotes list'!$D$9:$E$58,2,FALSE) ) )</f>
        <v/>
      </c>
      <c r="AU31" s="126" t="str">
        <f>IF(AND(TRIM(AU29)="", TRIM(AU30)=""), "", SUM(AU29,AU30) )</f>
        <v/>
      </c>
      <c r="AV31" s="379"/>
      <c r="AW31" s="380"/>
      <c r="AX31" s="381"/>
      <c r="AY31" s="377" t="str">
        <f>IF(TRIM(AX31)="", "", IF(VLOOKUP(AX31,'Footnotes list'!$D$9:$E$58,2,FALSE)=0,"",VLOOKUP(AX31,'Footnotes list'!$D$9:$E$58,2,FALSE) ) )</f>
        <v/>
      </c>
    </row>
    <row r="32" spans="2:51" ht="15" customHeight="1" thickBot="1" x14ac:dyDescent="0.4">
      <c r="B32" s="534" t="s">
        <v>118</v>
      </c>
      <c r="C32" s="55"/>
      <c r="D32" s="528" t="s">
        <v>85</v>
      </c>
      <c r="E32" s="55"/>
      <c r="F32" s="45" t="s">
        <v>233</v>
      </c>
      <c r="G32" s="125"/>
      <c r="H32" s="26"/>
      <c r="I32" s="26"/>
      <c r="J32" s="26"/>
      <c r="K32" s="27"/>
      <c r="L32" s="125"/>
      <c r="M32" s="26"/>
      <c r="N32" s="26"/>
      <c r="O32" s="26"/>
      <c r="P32" s="27"/>
      <c r="Q32" s="125"/>
      <c r="R32" s="26"/>
      <c r="S32" s="26"/>
      <c r="T32" s="26"/>
      <c r="U32" s="27"/>
      <c r="V32" s="125"/>
      <c r="W32" s="26"/>
      <c r="X32" s="26"/>
      <c r="Y32" s="26"/>
      <c r="Z32" s="27"/>
      <c r="AA32" s="125"/>
      <c r="AB32" s="26"/>
      <c r="AC32" s="26"/>
      <c r="AD32" s="26"/>
      <c r="AE32" s="27"/>
      <c r="AF32" s="125"/>
      <c r="AG32" s="26"/>
      <c r="AH32" s="26"/>
      <c r="AI32" s="26"/>
      <c r="AJ32" s="27"/>
      <c r="AK32" s="125"/>
      <c r="AL32" s="26"/>
      <c r="AM32" s="26"/>
      <c r="AN32" s="26"/>
      <c r="AO32" s="27"/>
      <c r="AP32" s="125"/>
      <c r="AQ32" s="26"/>
      <c r="AR32" s="26"/>
      <c r="AS32" s="26"/>
      <c r="AT32" s="27"/>
      <c r="AU32" s="125"/>
      <c r="AV32" s="26"/>
      <c r="AW32" s="26"/>
      <c r="AX32" s="26"/>
      <c r="AY32" s="27"/>
    </row>
    <row r="33" spans="2:51" ht="15" customHeight="1" x14ac:dyDescent="0.35">
      <c r="B33" s="535"/>
      <c r="C33" s="50" t="s">
        <v>118</v>
      </c>
      <c r="D33" s="529"/>
      <c r="E33" s="51" t="s">
        <v>145</v>
      </c>
      <c r="F33" s="52" t="s">
        <v>152</v>
      </c>
      <c r="G33" s="378"/>
      <c r="H33" s="379"/>
      <c r="I33" s="380"/>
      <c r="J33" s="381"/>
      <c r="K33" s="377" t="str">
        <f>IF(TRIM(J33)="", "", IF(VLOOKUP(J33,'Footnotes list'!$D$9:$E$58,2,FALSE)=0,"",VLOOKUP(J33,'Footnotes list'!$D$9:$E$58,2,FALSE) ) )</f>
        <v/>
      </c>
      <c r="L33" s="378"/>
      <c r="M33" s="379"/>
      <c r="N33" s="380"/>
      <c r="O33" s="381"/>
      <c r="P33" s="377" t="str">
        <f>IF(TRIM(O33)="", "", IF(VLOOKUP(O33,'Footnotes list'!$D$9:$E$58,2,FALSE)=0,"",VLOOKUP(O33,'Footnotes list'!$D$9:$E$58,2,FALSE) ) )</f>
        <v/>
      </c>
      <c r="Q33" s="378"/>
      <c r="R33" s="379"/>
      <c r="S33" s="380"/>
      <c r="T33" s="381"/>
      <c r="U33" s="377" t="str">
        <f>IF(TRIM(T33)="", "", IF(VLOOKUP(T33,'Footnotes list'!$D$9:$E$58,2,FALSE)=0,"",VLOOKUP(T33,'Footnotes list'!$D$9:$E$58,2,FALSE) ) )</f>
        <v/>
      </c>
      <c r="V33" s="378"/>
      <c r="W33" s="379"/>
      <c r="X33" s="380"/>
      <c r="Y33" s="381"/>
      <c r="Z33" s="377" t="str">
        <f>IF(TRIM(Y33)="", "", IF(VLOOKUP(Y33,'Footnotes list'!$D$9:$E$58,2,FALSE)=0,"",VLOOKUP(Y33,'Footnotes list'!$D$9:$E$58,2,FALSE) ) )</f>
        <v/>
      </c>
      <c r="AA33" s="129" t="str">
        <f>IF(AND(TRIM(Q33)="",TRIM(V33)=""),"",Q33+V33)</f>
        <v/>
      </c>
      <c r="AB33" s="379"/>
      <c r="AC33" s="380"/>
      <c r="AD33" s="381"/>
      <c r="AE33" s="377" t="str">
        <f>IF(TRIM(AD33)="", "", IF(VLOOKUP(AD33,'Footnotes list'!$D$9:$E$58,2,FALSE)=0,"",VLOOKUP(AD33,'Footnotes list'!$D$9:$E$58,2,FALSE) ) )</f>
        <v/>
      </c>
      <c r="AF33" s="378"/>
      <c r="AG33" s="379"/>
      <c r="AH33" s="380"/>
      <c r="AI33" s="381"/>
      <c r="AJ33" s="377" t="str">
        <f>IF(TRIM(AI33)="", "", IF(VLOOKUP(AI33,'Footnotes list'!$D$9:$E$58,2,FALSE)=0,"",VLOOKUP(AI33,'Footnotes list'!$D$9:$E$58,2,FALSE) ) )</f>
        <v/>
      </c>
      <c r="AK33" s="378"/>
      <c r="AL33" s="379"/>
      <c r="AM33" s="380"/>
      <c r="AN33" s="381"/>
      <c r="AO33" s="377" t="str">
        <f>IF(TRIM(AN33)="", "", IF(VLOOKUP(AN33,'Footnotes list'!$D$9:$E$58,2,FALSE)=0,"",VLOOKUP(AN33,'Footnotes list'!$D$9:$E$58,2,FALSE) ) )</f>
        <v/>
      </c>
      <c r="AP33" s="129" t="str">
        <f>IF(AND(TRIM(AF33)="",TRIM(AK33)=""),"",AF33+AK33)</f>
        <v/>
      </c>
      <c r="AQ33" s="379"/>
      <c r="AR33" s="380"/>
      <c r="AS33" s="381"/>
      <c r="AT33" s="377" t="str">
        <f>IF(TRIM(AS33)="", "", IF(VLOOKUP(AS33,'Footnotes list'!$D$9:$E$58,2,FALSE)=0,"",VLOOKUP(AS33,'Footnotes list'!$D$9:$E$58,2,FALSE) ) )</f>
        <v/>
      </c>
      <c r="AU33" s="403" t="str">
        <f>IF(AND(TRIM(G33)="",TRIM(L33)="",TRIM(AA33)="",TRIM(AP33)=""),"",SUM(G33,L33,AA33,AP33))</f>
        <v/>
      </c>
      <c r="AV33" s="379"/>
      <c r="AW33" s="380"/>
      <c r="AX33" s="381"/>
      <c r="AY33" s="377" t="str">
        <f>IF(TRIM(AX33)="", "", IF(VLOOKUP(AX33,'Footnotes list'!$D$9:$E$58,2,FALSE)=0,"",VLOOKUP(AX33,'Footnotes list'!$D$9:$E$58,2,FALSE) ) )</f>
        <v/>
      </c>
    </row>
    <row r="34" spans="2:51" ht="15" customHeight="1" thickBot="1" x14ac:dyDescent="0.4">
      <c r="B34" s="536"/>
      <c r="C34" s="53" t="s">
        <v>118</v>
      </c>
      <c r="D34" s="530"/>
      <c r="E34" s="47" t="s">
        <v>146</v>
      </c>
      <c r="F34" s="54" t="s">
        <v>234</v>
      </c>
      <c r="G34" s="126" t="str">
        <f>IF(AND(TRIM(G32)="",TRIM(G33)=""),"",G32+G33)</f>
        <v/>
      </c>
      <c r="H34" s="379"/>
      <c r="I34" s="380"/>
      <c r="J34" s="381"/>
      <c r="K34" s="377" t="str">
        <f>IF(TRIM(J34)="", "", IF(VLOOKUP(J34,'Footnotes list'!$D$9:$E$58,2,FALSE)=0,"",VLOOKUP(J34,'Footnotes list'!$D$9:$E$58,2,FALSE) ) )</f>
        <v/>
      </c>
      <c r="L34" s="126" t="str">
        <f>IF(AND(TRIM(L32)="",TRIM(L33)=""),"",L32+L33)</f>
        <v/>
      </c>
      <c r="M34" s="379"/>
      <c r="N34" s="380"/>
      <c r="O34" s="381"/>
      <c r="P34" s="377" t="str">
        <f>IF(TRIM(O34)="", "", IF(VLOOKUP(O34,'Footnotes list'!$D$9:$E$58,2,FALSE)=0,"",VLOOKUP(O34,'Footnotes list'!$D$9:$E$58,2,FALSE) ) )</f>
        <v/>
      </c>
      <c r="Q34" s="126" t="str">
        <f>IF(AND(TRIM(Q32)="",TRIM(Q33)=""),"",Q32+Q33)</f>
        <v/>
      </c>
      <c r="R34" s="379"/>
      <c r="S34" s="380"/>
      <c r="T34" s="381"/>
      <c r="U34" s="377" t="str">
        <f>IF(TRIM(T34)="", "", IF(VLOOKUP(T34,'Footnotes list'!$D$9:$E$58,2,FALSE)=0,"",VLOOKUP(T34,'Footnotes list'!$D$9:$E$58,2,FALSE) ) )</f>
        <v/>
      </c>
      <c r="V34" s="126" t="str">
        <f>IF(AND(TRIM(V32)="",TRIM(V33)=""),"",V32+V33)</f>
        <v/>
      </c>
      <c r="W34" s="379"/>
      <c r="X34" s="380"/>
      <c r="Y34" s="381"/>
      <c r="Z34" s="377" t="str">
        <f>IF(TRIM(Y34)="", "", IF(VLOOKUP(Y34,'Footnotes list'!$D$9:$E$58,2,FALSE)=0,"",VLOOKUP(Y34,'Footnotes list'!$D$9:$E$58,2,FALSE) ) )</f>
        <v/>
      </c>
      <c r="AA34" s="126" t="str">
        <f>IF(AND(TRIM(AA32)="", TRIM(AA33)=""), "", SUM(AA32,AA33))</f>
        <v/>
      </c>
      <c r="AB34" s="379"/>
      <c r="AC34" s="380"/>
      <c r="AD34" s="381"/>
      <c r="AE34" s="377" t="str">
        <f>IF(TRIM(AD34)="", "", IF(VLOOKUP(AD34,'Footnotes list'!$D$9:$E$58,2,FALSE)=0,"",VLOOKUP(AD34,'Footnotes list'!$D$9:$E$58,2,FALSE) ) )</f>
        <v/>
      </c>
      <c r="AF34" s="126" t="str">
        <f>IF(AND(TRIM(AF32)="",TRIM(AF33)=""),"",AF32+AF33)</f>
        <v/>
      </c>
      <c r="AG34" s="379"/>
      <c r="AH34" s="380"/>
      <c r="AI34" s="381"/>
      <c r="AJ34" s="377" t="str">
        <f>IF(TRIM(AI34)="", "", IF(VLOOKUP(AI34,'Footnotes list'!$D$9:$E$58,2,FALSE)=0,"",VLOOKUP(AI34,'Footnotes list'!$D$9:$E$58,2,FALSE) ) )</f>
        <v/>
      </c>
      <c r="AK34" s="126" t="str">
        <f>IF(AND(TRIM(AK32)="",TRIM(AK33)=""),"",AK32+AK33)</f>
        <v/>
      </c>
      <c r="AL34" s="379"/>
      <c r="AM34" s="380"/>
      <c r="AN34" s="381"/>
      <c r="AO34" s="377" t="str">
        <f>IF(TRIM(AN34)="", "", IF(VLOOKUP(AN34,'Footnotes list'!$D$9:$E$58,2,FALSE)=0,"",VLOOKUP(AN34,'Footnotes list'!$D$9:$E$58,2,FALSE) ) )</f>
        <v/>
      </c>
      <c r="AP34" s="126" t="str">
        <f>IF(AND(TRIM(AP32)="", TRIM(AP33)=""), "", SUM(AP32,AP33))</f>
        <v/>
      </c>
      <c r="AQ34" s="379"/>
      <c r="AR34" s="380"/>
      <c r="AS34" s="381"/>
      <c r="AT34" s="377" t="str">
        <f>IF(TRIM(AS34)="", "", IF(VLOOKUP(AS34,'Footnotes list'!$D$9:$E$58,2,FALSE)=0,"",VLOOKUP(AS34,'Footnotes list'!$D$9:$E$58,2,FALSE) ) )</f>
        <v/>
      </c>
      <c r="AU34" s="126" t="str">
        <f>IF(AND(TRIM(AU32)="", TRIM(AU33)=""), "", SUM(AU32,AU33) )</f>
        <v/>
      </c>
      <c r="AV34" s="379"/>
      <c r="AW34" s="380"/>
      <c r="AX34" s="381"/>
      <c r="AY34" s="377" t="str">
        <f>IF(TRIM(AX34)="", "", IF(VLOOKUP(AX34,'Footnotes list'!$D$9:$E$58,2,FALSE)=0,"",VLOOKUP(AX34,'Footnotes list'!$D$9:$E$58,2,FALSE) ) )</f>
        <v/>
      </c>
    </row>
    <row r="35" spans="2:51" ht="15" customHeight="1" thickBot="1" x14ac:dyDescent="0.4">
      <c r="B35" s="534" t="s">
        <v>119</v>
      </c>
      <c r="C35" s="55"/>
      <c r="D35" s="528" t="s">
        <v>158</v>
      </c>
      <c r="E35" s="55"/>
      <c r="F35" s="45" t="s">
        <v>233</v>
      </c>
      <c r="G35" s="125"/>
      <c r="H35" s="133"/>
      <c r="I35" s="134"/>
      <c r="J35" s="135"/>
      <c r="K35" s="136"/>
      <c r="L35" s="125"/>
      <c r="M35" s="133"/>
      <c r="N35" s="134"/>
      <c r="O35" s="135"/>
      <c r="P35" s="136"/>
      <c r="Q35" s="125"/>
      <c r="R35" s="133"/>
      <c r="S35" s="134"/>
      <c r="T35" s="135"/>
      <c r="U35" s="136"/>
      <c r="V35" s="125"/>
      <c r="W35" s="133"/>
      <c r="X35" s="134"/>
      <c r="Y35" s="135"/>
      <c r="Z35" s="136"/>
      <c r="AA35" s="125"/>
      <c r="AB35" s="133"/>
      <c r="AC35" s="134"/>
      <c r="AD35" s="135"/>
      <c r="AE35" s="136"/>
      <c r="AF35" s="125"/>
      <c r="AG35" s="133"/>
      <c r="AH35" s="134"/>
      <c r="AI35" s="135"/>
      <c r="AJ35" s="136"/>
      <c r="AK35" s="125"/>
      <c r="AL35" s="133"/>
      <c r="AM35" s="134"/>
      <c r="AN35" s="135"/>
      <c r="AO35" s="136"/>
      <c r="AP35" s="125"/>
      <c r="AQ35" s="133"/>
      <c r="AR35" s="134"/>
      <c r="AS35" s="135"/>
      <c r="AT35" s="136"/>
      <c r="AU35" s="125"/>
      <c r="AV35" s="133"/>
      <c r="AW35" s="134"/>
      <c r="AX35" s="135"/>
      <c r="AY35" s="136"/>
    </row>
    <row r="36" spans="2:51" ht="15" customHeight="1" x14ac:dyDescent="0.35">
      <c r="B36" s="535"/>
      <c r="C36" s="50" t="s">
        <v>119</v>
      </c>
      <c r="D36" s="529"/>
      <c r="E36" s="51" t="s">
        <v>145</v>
      </c>
      <c r="F36" s="52" t="s">
        <v>152</v>
      </c>
      <c r="G36" s="378"/>
      <c r="H36" s="379"/>
      <c r="I36" s="380"/>
      <c r="J36" s="381"/>
      <c r="K36" s="377" t="str">
        <f>IF(TRIM(J36)="", "", IF(VLOOKUP(J36,'Footnotes list'!$D$9:$E$58,2,FALSE)=0,"",VLOOKUP(J36,'Footnotes list'!$D$9:$E$58,2,FALSE) ) )</f>
        <v/>
      </c>
      <c r="L36" s="378"/>
      <c r="M36" s="379"/>
      <c r="N36" s="380"/>
      <c r="O36" s="381"/>
      <c r="P36" s="377" t="str">
        <f>IF(TRIM(O36)="", "", IF(VLOOKUP(O36,'Footnotes list'!$D$9:$E$58,2,FALSE)=0,"",VLOOKUP(O36,'Footnotes list'!$D$9:$E$58,2,FALSE) ) )</f>
        <v/>
      </c>
      <c r="Q36" s="378"/>
      <c r="R36" s="379"/>
      <c r="S36" s="380"/>
      <c r="T36" s="381"/>
      <c r="U36" s="377" t="str">
        <f>IF(TRIM(T36)="", "", IF(VLOOKUP(T36,'Footnotes list'!$D$9:$E$58,2,FALSE)=0,"",VLOOKUP(T36,'Footnotes list'!$D$9:$E$58,2,FALSE) ) )</f>
        <v/>
      </c>
      <c r="V36" s="378"/>
      <c r="W36" s="379"/>
      <c r="X36" s="380"/>
      <c r="Y36" s="381"/>
      <c r="Z36" s="377" t="str">
        <f>IF(TRIM(Y36)="", "", IF(VLOOKUP(Y36,'Footnotes list'!$D$9:$E$58,2,FALSE)=0,"",VLOOKUP(Y36,'Footnotes list'!$D$9:$E$58,2,FALSE) ) )</f>
        <v/>
      </c>
      <c r="AA36" s="129" t="str">
        <f>IF(AND(TRIM(Q36)="",TRIM(V36)=""),"",Q36+V36)</f>
        <v/>
      </c>
      <c r="AB36" s="379"/>
      <c r="AC36" s="380"/>
      <c r="AD36" s="381"/>
      <c r="AE36" s="377" t="str">
        <f>IF(TRIM(AD36)="", "", IF(VLOOKUP(AD36,'Footnotes list'!$D$9:$E$58,2,FALSE)=0,"",VLOOKUP(AD36,'Footnotes list'!$D$9:$E$58,2,FALSE) ) )</f>
        <v/>
      </c>
      <c r="AF36" s="378"/>
      <c r="AG36" s="379"/>
      <c r="AH36" s="380"/>
      <c r="AI36" s="381"/>
      <c r="AJ36" s="377" t="str">
        <f>IF(TRIM(AI36)="", "", IF(VLOOKUP(AI36,'Footnotes list'!$D$9:$E$58,2,FALSE)=0,"",VLOOKUP(AI36,'Footnotes list'!$D$9:$E$58,2,FALSE) ) )</f>
        <v/>
      </c>
      <c r="AK36" s="378"/>
      <c r="AL36" s="379"/>
      <c r="AM36" s="380"/>
      <c r="AN36" s="381"/>
      <c r="AO36" s="377" t="str">
        <f>IF(TRIM(AN36)="", "", IF(VLOOKUP(AN36,'Footnotes list'!$D$9:$E$58,2,FALSE)=0,"",VLOOKUP(AN36,'Footnotes list'!$D$9:$E$58,2,FALSE) ) )</f>
        <v/>
      </c>
      <c r="AP36" s="129" t="str">
        <f>IF(AND(TRIM(AF36)="",TRIM(AK36)=""),"",AF36+AK36)</f>
        <v/>
      </c>
      <c r="AQ36" s="379"/>
      <c r="AR36" s="380"/>
      <c r="AS36" s="381"/>
      <c r="AT36" s="377" t="str">
        <f>IF(TRIM(AS36)="", "", IF(VLOOKUP(AS36,'Footnotes list'!$D$9:$E$58,2,FALSE)=0,"",VLOOKUP(AS36,'Footnotes list'!$D$9:$E$58,2,FALSE) ) )</f>
        <v/>
      </c>
      <c r="AU36" s="403" t="str">
        <f>IF(AND(TRIM(G36)="",TRIM(L36)="",TRIM(AA36)="",TRIM(AP36)=""),"",SUM(G36,L36,AA36,AP36))</f>
        <v/>
      </c>
      <c r="AV36" s="379"/>
      <c r="AW36" s="380"/>
      <c r="AX36" s="381"/>
      <c r="AY36" s="377" t="str">
        <f>IF(TRIM(AX36)="", "", IF(VLOOKUP(AX36,'Footnotes list'!$D$9:$E$58,2,FALSE)=0,"",VLOOKUP(AX36,'Footnotes list'!$D$9:$E$58,2,FALSE) ) )</f>
        <v/>
      </c>
    </row>
    <row r="37" spans="2:51" ht="15" customHeight="1" thickBot="1" x14ac:dyDescent="0.4">
      <c r="B37" s="536"/>
      <c r="C37" s="53" t="s">
        <v>119</v>
      </c>
      <c r="D37" s="530"/>
      <c r="E37" s="47" t="s">
        <v>146</v>
      </c>
      <c r="F37" s="54" t="s">
        <v>234</v>
      </c>
      <c r="G37" s="126" t="str">
        <f>IF(AND(TRIM(G35)="",TRIM(G36)=""),"",G35+G36)</f>
        <v/>
      </c>
      <c r="H37" s="379"/>
      <c r="I37" s="380"/>
      <c r="J37" s="381"/>
      <c r="K37" s="377" t="str">
        <f>IF(TRIM(J37)="", "", IF(VLOOKUP(J37,'Footnotes list'!$D$9:$E$58,2,FALSE)=0,"",VLOOKUP(J37,'Footnotes list'!$D$9:$E$58,2,FALSE) ) )</f>
        <v/>
      </c>
      <c r="L37" s="126" t="str">
        <f>IF(AND(TRIM(L35)="",TRIM(L36)=""),"",L35+L36)</f>
        <v/>
      </c>
      <c r="M37" s="379"/>
      <c r="N37" s="380"/>
      <c r="O37" s="381"/>
      <c r="P37" s="377" t="str">
        <f>IF(TRIM(O37)="", "", IF(VLOOKUP(O37,'Footnotes list'!$D$9:$E$58,2,FALSE)=0,"",VLOOKUP(O37,'Footnotes list'!$D$9:$E$58,2,FALSE) ) )</f>
        <v/>
      </c>
      <c r="Q37" s="126" t="str">
        <f>IF(AND(TRIM(Q35)="",TRIM(Q36)=""),"",Q35+Q36)</f>
        <v/>
      </c>
      <c r="R37" s="379"/>
      <c r="S37" s="380"/>
      <c r="T37" s="381"/>
      <c r="U37" s="377" t="str">
        <f>IF(TRIM(T37)="", "", IF(VLOOKUP(T37,'Footnotes list'!$D$9:$E$58,2,FALSE)=0,"",VLOOKUP(T37,'Footnotes list'!$D$9:$E$58,2,FALSE) ) )</f>
        <v/>
      </c>
      <c r="V37" s="126" t="str">
        <f>IF(AND(TRIM(V35)="",TRIM(V36)=""),"",V35+V36)</f>
        <v/>
      </c>
      <c r="W37" s="379"/>
      <c r="X37" s="380"/>
      <c r="Y37" s="381"/>
      <c r="Z37" s="377" t="str">
        <f>IF(TRIM(Y37)="", "", IF(VLOOKUP(Y37,'Footnotes list'!$D$9:$E$58,2,FALSE)=0,"",VLOOKUP(Y37,'Footnotes list'!$D$9:$E$58,2,FALSE) ) )</f>
        <v/>
      </c>
      <c r="AA37" s="126" t="str">
        <f>IF(AND(TRIM(AA35)="", TRIM(AA36)=""), "", SUM(AA35,AA36))</f>
        <v/>
      </c>
      <c r="AB37" s="379"/>
      <c r="AC37" s="380"/>
      <c r="AD37" s="381"/>
      <c r="AE37" s="377" t="str">
        <f>IF(TRIM(AD37)="", "", IF(VLOOKUP(AD37,'Footnotes list'!$D$9:$E$58,2,FALSE)=0,"",VLOOKUP(AD37,'Footnotes list'!$D$9:$E$58,2,FALSE) ) )</f>
        <v/>
      </c>
      <c r="AF37" s="126" t="str">
        <f>IF(AND(TRIM(AF35)="",TRIM(AF36)=""),"",AF35+AF36)</f>
        <v/>
      </c>
      <c r="AG37" s="379"/>
      <c r="AH37" s="380"/>
      <c r="AI37" s="381"/>
      <c r="AJ37" s="377" t="str">
        <f>IF(TRIM(AI37)="", "", IF(VLOOKUP(AI37,'Footnotes list'!$D$9:$E$58,2,FALSE)=0,"",VLOOKUP(AI37,'Footnotes list'!$D$9:$E$58,2,FALSE) ) )</f>
        <v/>
      </c>
      <c r="AK37" s="126" t="str">
        <f>IF(AND(TRIM(AK35)="",TRIM(AK36)=""),"",AK35+AK36)</f>
        <v/>
      </c>
      <c r="AL37" s="379"/>
      <c r="AM37" s="380"/>
      <c r="AN37" s="381"/>
      <c r="AO37" s="377" t="str">
        <f>IF(TRIM(AN37)="", "", IF(VLOOKUP(AN37,'Footnotes list'!$D$9:$E$58,2,FALSE)=0,"",VLOOKUP(AN37,'Footnotes list'!$D$9:$E$58,2,FALSE) ) )</f>
        <v/>
      </c>
      <c r="AP37" s="126" t="str">
        <f>IF(AND(TRIM(AP35)="", TRIM(AP36)=""), "", SUM(AP35,AP36))</f>
        <v/>
      </c>
      <c r="AQ37" s="379"/>
      <c r="AR37" s="380"/>
      <c r="AS37" s="381"/>
      <c r="AT37" s="377" t="str">
        <f>IF(TRIM(AS37)="", "", IF(VLOOKUP(AS37,'Footnotes list'!$D$9:$E$58,2,FALSE)=0,"",VLOOKUP(AS37,'Footnotes list'!$D$9:$E$58,2,FALSE) ) )</f>
        <v/>
      </c>
      <c r="AU37" s="126" t="str">
        <f>IF(AND(TRIM(AU35)="", TRIM(AU36)=""), "", SUM(AU35,AU36) )</f>
        <v/>
      </c>
      <c r="AV37" s="379"/>
      <c r="AW37" s="380"/>
      <c r="AX37" s="381"/>
      <c r="AY37" s="377" t="str">
        <f>IF(TRIM(AX37)="", "", IF(VLOOKUP(AX37,'Footnotes list'!$D$9:$E$58,2,FALSE)=0,"",VLOOKUP(AX37,'Footnotes list'!$D$9:$E$58,2,FALSE) ) )</f>
        <v/>
      </c>
    </row>
    <row r="38" spans="2:51" ht="15" customHeight="1" x14ac:dyDescent="0.35">
      <c r="B38" s="534" t="s">
        <v>120</v>
      </c>
      <c r="C38" s="41" t="s">
        <v>120</v>
      </c>
      <c r="D38" s="528" t="s">
        <v>86</v>
      </c>
      <c r="E38" s="42" t="s">
        <v>144</v>
      </c>
      <c r="F38" s="43" t="s">
        <v>151</v>
      </c>
      <c r="G38" s="372"/>
      <c r="H38" s="373"/>
      <c r="I38" s="374"/>
      <c r="J38" s="375"/>
      <c r="K38" s="376" t="str">
        <f>IF(TRIM(J38)="", "", IF(VLOOKUP(J38,'Footnotes list'!$D$9:$E$58,2,FALSE)=0,"",VLOOKUP(J38,'Footnotes list'!$D$9:$E$58,2,FALSE) ) )</f>
        <v/>
      </c>
      <c r="L38" s="372"/>
      <c r="M38" s="373"/>
      <c r="N38" s="374"/>
      <c r="O38" s="375"/>
      <c r="P38" s="376" t="str">
        <f>IF(TRIM(O38)="", "", IF(VLOOKUP(O38,'Footnotes list'!$D$9:$E$58,2,FALSE)=0,"",VLOOKUP(O38,'Footnotes list'!$D$9:$E$58,2,FALSE) ) )</f>
        <v/>
      </c>
      <c r="Q38" s="372"/>
      <c r="R38" s="373"/>
      <c r="S38" s="374"/>
      <c r="T38" s="375"/>
      <c r="U38" s="376" t="str">
        <f>IF(TRIM(T38)="", "", IF(VLOOKUP(T38,'Footnotes list'!$D$9:$E$58,2,FALSE)=0,"",VLOOKUP(T38,'Footnotes list'!$D$9:$E$58,2,FALSE) ) )</f>
        <v/>
      </c>
      <c r="V38" s="372"/>
      <c r="W38" s="373"/>
      <c r="X38" s="374"/>
      <c r="Y38" s="375"/>
      <c r="Z38" s="376" t="str">
        <f>IF(TRIM(Y38)="", "", IF(VLOOKUP(Y38,'Footnotes list'!$D$9:$E$58,2,FALSE)=0,"",VLOOKUP(Y38,'Footnotes list'!$D$9:$E$58,2,FALSE) ) )</f>
        <v/>
      </c>
      <c r="AA38" s="382" t="str">
        <f>IF(AND(TRIM(Q38)="",TRIM(V38)=""),"",Q38+V38)</f>
        <v/>
      </c>
      <c r="AB38" s="373"/>
      <c r="AC38" s="374"/>
      <c r="AD38" s="375"/>
      <c r="AE38" s="376" t="str">
        <f>IF(TRIM(AD38)="", "", IF(VLOOKUP(AD38,'Footnotes list'!$D$9:$E$58,2,FALSE)=0,"",VLOOKUP(AD38,'Footnotes list'!$D$9:$E$58,2,FALSE) ) )</f>
        <v/>
      </c>
      <c r="AF38" s="372"/>
      <c r="AG38" s="373"/>
      <c r="AH38" s="374"/>
      <c r="AI38" s="375"/>
      <c r="AJ38" s="376" t="str">
        <f>IF(TRIM(AI38)="", "", IF(VLOOKUP(AI38,'Footnotes list'!$D$9:$E$58,2,FALSE)=0,"",VLOOKUP(AI38,'Footnotes list'!$D$9:$E$58,2,FALSE) ) )</f>
        <v/>
      </c>
      <c r="AK38" s="372"/>
      <c r="AL38" s="373"/>
      <c r="AM38" s="374"/>
      <c r="AN38" s="375"/>
      <c r="AO38" s="376" t="str">
        <f>IF(TRIM(AN38)="", "", IF(VLOOKUP(AN38,'Footnotes list'!$D$9:$E$58,2,FALSE)=0,"",VLOOKUP(AN38,'Footnotes list'!$D$9:$E$58,2,FALSE) ) )</f>
        <v/>
      </c>
      <c r="AP38" s="382" t="str">
        <f>IF(AND(TRIM(AF38)="",TRIM(AK38)=""),"",AF38+AK38)</f>
        <v/>
      </c>
      <c r="AQ38" s="373"/>
      <c r="AR38" s="374"/>
      <c r="AS38" s="375"/>
      <c r="AT38" s="376" t="str">
        <f>IF(TRIM(AS38)="", "", IF(VLOOKUP(AS38,'Footnotes list'!$D$9:$E$58,2,FALSE)=0,"",VLOOKUP(AS38,'Footnotes list'!$D$9:$E$58,2,FALSE) ) )</f>
        <v/>
      </c>
      <c r="AU38" s="382" t="str">
        <f>IF(AND(TRIM(G38)="",TRIM(L38)="",TRIM(AA38)="",TRIM(AP38)=""),"",SUM(G38,L38,AA38,AP38))</f>
        <v/>
      </c>
      <c r="AV38" s="373"/>
      <c r="AW38" s="374"/>
      <c r="AX38" s="375"/>
      <c r="AY38" s="376" t="str">
        <f>IF(TRIM(AX38)="", "", IF(VLOOKUP(AX38,'Footnotes list'!$D$9:$E$58,2,FALSE)=0,"",VLOOKUP(AX38,'Footnotes list'!$D$9:$E$58,2,FALSE) ) )</f>
        <v/>
      </c>
    </row>
    <row r="39" spans="2:51" ht="15" customHeight="1" x14ac:dyDescent="0.35">
      <c r="B39" s="535"/>
      <c r="C39" s="50" t="s">
        <v>120</v>
      </c>
      <c r="D39" s="529"/>
      <c r="E39" s="51" t="s">
        <v>145</v>
      </c>
      <c r="F39" s="52" t="s">
        <v>152</v>
      </c>
      <c r="G39" s="378"/>
      <c r="H39" s="379"/>
      <c r="I39" s="380"/>
      <c r="J39" s="381"/>
      <c r="K39" s="377" t="str">
        <f>IF(TRIM(J39)="", "", IF(VLOOKUP(J39,'Footnotes list'!$D$9:$E$58,2,FALSE)=0,"",VLOOKUP(J39,'Footnotes list'!$D$9:$E$58,2,FALSE) ) )</f>
        <v/>
      </c>
      <c r="L39" s="378"/>
      <c r="M39" s="379"/>
      <c r="N39" s="380"/>
      <c r="O39" s="381"/>
      <c r="P39" s="377" t="str">
        <f>IF(TRIM(O39)="", "", IF(VLOOKUP(O39,'Footnotes list'!$D$9:$E$58,2,FALSE)=0,"",VLOOKUP(O39,'Footnotes list'!$D$9:$E$58,2,FALSE) ) )</f>
        <v/>
      </c>
      <c r="Q39" s="378"/>
      <c r="R39" s="379"/>
      <c r="S39" s="380"/>
      <c r="T39" s="381"/>
      <c r="U39" s="377" t="str">
        <f>IF(TRIM(T39)="", "", IF(VLOOKUP(T39,'Footnotes list'!$D$9:$E$58,2,FALSE)=0,"",VLOOKUP(T39,'Footnotes list'!$D$9:$E$58,2,FALSE) ) )</f>
        <v/>
      </c>
      <c r="V39" s="378"/>
      <c r="W39" s="379"/>
      <c r="X39" s="380"/>
      <c r="Y39" s="381"/>
      <c r="Z39" s="377" t="str">
        <f>IF(TRIM(Y39)="", "", IF(VLOOKUP(Y39,'Footnotes list'!$D$9:$E$58,2,FALSE)=0,"",VLOOKUP(Y39,'Footnotes list'!$D$9:$E$58,2,FALSE) ) )</f>
        <v/>
      </c>
      <c r="AA39" s="129" t="str">
        <f>IF(AND(TRIM(Q39)="",TRIM(V39)=""),"",Q39+V39)</f>
        <v/>
      </c>
      <c r="AB39" s="379"/>
      <c r="AC39" s="380"/>
      <c r="AD39" s="381"/>
      <c r="AE39" s="377" t="str">
        <f>IF(TRIM(AD39)="", "", IF(VLOOKUP(AD39,'Footnotes list'!$D$9:$E$58,2,FALSE)=0,"",VLOOKUP(AD39,'Footnotes list'!$D$9:$E$58,2,FALSE) ) )</f>
        <v/>
      </c>
      <c r="AF39" s="378"/>
      <c r="AG39" s="379"/>
      <c r="AH39" s="380"/>
      <c r="AI39" s="381"/>
      <c r="AJ39" s="377" t="str">
        <f>IF(TRIM(AI39)="", "", IF(VLOOKUP(AI39,'Footnotes list'!$D$9:$E$58,2,FALSE)=0,"",VLOOKUP(AI39,'Footnotes list'!$D$9:$E$58,2,FALSE) ) )</f>
        <v/>
      </c>
      <c r="AK39" s="378"/>
      <c r="AL39" s="379"/>
      <c r="AM39" s="380"/>
      <c r="AN39" s="381"/>
      <c r="AO39" s="377" t="str">
        <f>IF(TRIM(AN39)="", "", IF(VLOOKUP(AN39,'Footnotes list'!$D$9:$E$58,2,FALSE)=0,"",VLOOKUP(AN39,'Footnotes list'!$D$9:$E$58,2,FALSE) ) )</f>
        <v/>
      </c>
      <c r="AP39" s="129" t="str">
        <f>IF(AND(TRIM(AF39)="",TRIM(AK39)=""),"",AF39+AK39)</f>
        <v/>
      </c>
      <c r="AQ39" s="379"/>
      <c r="AR39" s="380"/>
      <c r="AS39" s="381"/>
      <c r="AT39" s="377" t="str">
        <f>IF(TRIM(AS39)="", "", IF(VLOOKUP(AS39,'Footnotes list'!$D$9:$E$58,2,FALSE)=0,"",VLOOKUP(AS39,'Footnotes list'!$D$9:$E$58,2,FALSE) ) )</f>
        <v/>
      </c>
      <c r="AU39" s="403" t="str">
        <f>IF(AND(TRIM(G39)="",TRIM(L39)="",TRIM(AA39)="",TRIM(AP39)=""),"",SUM(G39,L39,AA39,AP39))</f>
        <v/>
      </c>
      <c r="AV39" s="379"/>
      <c r="AW39" s="380"/>
      <c r="AX39" s="381"/>
      <c r="AY39" s="377" t="str">
        <f>IF(TRIM(AX39)="", "", IF(VLOOKUP(AX39,'Footnotes list'!$D$9:$E$58,2,FALSE)=0,"",VLOOKUP(AX39,'Footnotes list'!$D$9:$E$58,2,FALSE) ) )</f>
        <v/>
      </c>
    </row>
    <row r="40" spans="2:51" ht="15" customHeight="1" thickBot="1" x14ac:dyDescent="0.4">
      <c r="B40" s="536"/>
      <c r="C40" s="53" t="s">
        <v>120</v>
      </c>
      <c r="D40" s="530"/>
      <c r="E40" s="47" t="s">
        <v>146</v>
      </c>
      <c r="F40" s="54" t="s">
        <v>234</v>
      </c>
      <c r="G40" s="126" t="str">
        <f>IF(AND(TRIM(G38)="",TRIM(G39)=""),"",G38+G39)</f>
        <v/>
      </c>
      <c r="H40" s="379"/>
      <c r="I40" s="380"/>
      <c r="J40" s="381"/>
      <c r="K40" s="377" t="str">
        <f>IF(TRIM(J40)="", "", IF(VLOOKUP(J40,'Footnotes list'!$D$9:$E$58,2,FALSE)=0,"",VLOOKUP(J40,'Footnotes list'!$D$9:$E$58,2,FALSE) ) )</f>
        <v/>
      </c>
      <c r="L40" s="126" t="str">
        <f>IF(AND(TRIM(L38)="",TRIM(L39)=""),"",L38+L39)</f>
        <v/>
      </c>
      <c r="M40" s="379"/>
      <c r="N40" s="380"/>
      <c r="O40" s="381"/>
      <c r="P40" s="377" t="str">
        <f>IF(TRIM(O40)="", "", IF(VLOOKUP(O40,'Footnotes list'!$D$9:$E$58,2,FALSE)=0,"",VLOOKUP(O40,'Footnotes list'!$D$9:$E$58,2,FALSE) ) )</f>
        <v/>
      </c>
      <c r="Q40" s="126" t="str">
        <f>IF(AND(TRIM(Q38)="",TRIM(Q39)=""),"",Q38+Q39)</f>
        <v/>
      </c>
      <c r="R40" s="379"/>
      <c r="S40" s="380"/>
      <c r="T40" s="381"/>
      <c r="U40" s="377" t="str">
        <f>IF(TRIM(T40)="", "", IF(VLOOKUP(T40,'Footnotes list'!$D$9:$E$58,2,FALSE)=0,"",VLOOKUP(T40,'Footnotes list'!$D$9:$E$58,2,FALSE) ) )</f>
        <v/>
      </c>
      <c r="V40" s="126" t="str">
        <f>IF(AND(TRIM(V38)="",TRIM(V39)=""),"",V38+V39)</f>
        <v/>
      </c>
      <c r="W40" s="379"/>
      <c r="X40" s="380"/>
      <c r="Y40" s="381"/>
      <c r="Z40" s="377" t="str">
        <f>IF(TRIM(Y40)="", "", IF(VLOOKUP(Y40,'Footnotes list'!$D$9:$E$58,2,FALSE)=0,"",VLOOKUP(Y40,'Footnotes list'!$D$9:$E$58,2,FALSE) ) )</f>
        <v/>
      </c>
      <c r="AA40" s="126" t="str">
        <f>IF(AND(TRIM(AA38)="", TRIM(AA39)=""), "", SUM(AA38,AA39))</f>
        <v/>
      </c>
      <c r="AB40" s="379"/>
      <c r="AC40" s="380"/>
      <c r="AD40" s="381"/>
      <c r="AE40" s="377" t="str">
        <f>IF(TRIM(AD40)="", "", IF(VLOOKUP(AD40,'Footnotes list'!$D$9:$E$58,2,FALSE)=0,"",VLOOKUP(AD40,'Footnotes list'!$D$9:$E$58,2,FALSE) ) )</f>
        <v/>
      </c>
      <c r="AF40" s="126" t="str">
        <f>IF(AND(TRIM(AF38)="",TRIM(AF39)=""),"",AF38+AF39)</f>
        <v/>
      </c>
      <c r="AG40" s="379"/>
      <c r="AH40" s="380"/>
      <c r="AI40" s="381"/>
      <c r="AJ40" s="377" t="str">
        <f>IF(TRIM(AI40)="", "", IF(VLOOKUP(AI40,'Footnotes list'!$D$9:$E$58,2,FALSE)=0,"",VLOOKUP(AI40,'Footnotes list'!$D$9:$E$58,2,FALSE) ) )</f>
        <v/>
      </c>
      <c r="AK40" s="126" t="str">
        <f>IF(AND(TRIM(AK38)="",TRIM(AK39)=""),"",AK38+AK39)</f>
        <v/>
      </c>
      <c r="AL40" s="379"/>
      <c r="AM40" s="380"/>
      <c r="AN40" s="381"/>
      <c r="AO40" s="377" t="str">
        <f>IF(TRIM(AN40)="", "", IF(VLOOKUP(AN40,'Footnotes list'!$D$9:$E$58,2,FALSE)=0,"",VLOOKUP(AN40,'Footnotes list'!$D$9:$E$58,2,FALSE) ) )</f>
        <v/>
      </c>
      <c r="AP40" s="126" t="str">
        <f>IF(AND(TRIM(AP38)="", TRIM(AP39)=""), "", SUM(AP38,AP39))</f>
        <v/>
      </c>
      <c r="AQ40" s="379"/>
      <c r="AR40" s="380"/>
      <c r="AS40" s="381"/>
      <c r="AT40" s="377" t="str">
        <f>IF(TRIM(AS40)="", "", IF(VLOOKUP(AS40,'Footnotes list'!$D$9:$E$58,2,FALSE)=0,"",VLOOKUP(AS40,'Footnotes list'!$D$9:$E$58,2,FALSE) ) )</f>
        <v/>
      </c>
      <c r="AU40" s="126" t="str">
        <f>IF(AND(TRIM(AU38)="", TRIM(AU39)=""), "", SUM(AU38,AU39) )</f>
        <v/>
      </c>
      <c r="AV40" s="379"/>
      <c r="AW40" s="380"/>
      <c r="AX40" s="381"/>
      <c r="AY40" s="377" t="str">
        <f>IF(TRIM(AX40)="", "", IF(VLOOKUP(AX40,'Footnotes list'!$D$9:$E$58,2,FALSE)=0,"",VLOOKUP(AX40,'Footnotes list'!$D$9:$E$58,2,FALSE) ) )</f>
        <v/>
      </c>
    </row>
    <row r="41" spans="2:51" ht="15" customHeight="1" thickBot="1" x14ac:dyDescent="0.4">
      <c r="B41" s="534" t="s">
        <v>121</v>
      </c>
      <c r="C41" s="55"/>
      <c r="D41" s="528" t="s">
        <v>87</v>
      </c>
      <c r="E41" s="55"/>
      <c r="F41" s="45" t="s">
        <v>233</v>
      </c>
      <c r="G41" s="125"/>
      <c r="H41" s="133"/>
      <c r="I41" s="134"/>
      <c r="J41" s="135"/>
      <c r="K41" s="136"/>
      <c r="L41" s="125"/>
      <c r="M41" s="133"/>
      <c r="N41" s="134"/>
      <c r="O41" s="135"/>
      <c r="P41" s="136"/>
      <c r="Q41" s="125"/>
      <c r="R41" s="133"/>
      <c r="S41" s="134"/>
      <c r="T41" s="135"/>
      <c r="U41" s="136"/>
      <c r="V41" s="125"/>
      <c r="W41" s="133"/>
      <c r="X41" s="134"/>
      <c r="Y41" s="135"/>
      <c r="Z41" s="136"/>
      <c r="AA41" s="125"/>
      <c r="AB41" s="133"/>
      <c r="AC41" s="134"/>
      <c r="AD41" s="135"/>
      <c r="AE41" s="136"/>
      <c r="AF41" s="125"/>
      <c r="AG41" s="133"/>
      <c r="AH41" s="134"/>
      <c r="AI41" s="135"/>
      <c r="AJ41" s="136"/>
      <c r="AK41" s="125"/>
      <c r="AL41" s="133"/>
      <c r="AM41" s="134"/>
      <c r="AN41" s="135"/>
      <c r="AO41" s="136"/>
      <c r="AP41" s="125"/>
      <c r="AQ41" s="133"/>
      <c r="AR41" s="134"/>
      <c r="AS41" s="135"/>
      <c r="AT41" s="136"/>
      <c r="AU41" s="125"/>
      <c r="AV41" s="133"/>
      <c r="AW41" s="134"/>
      <c r="AX41" s="135"/>
      <c r="AY41" s="136"/>
    </row>
    <row r="42" spans="2:51" ht="15" customHeight="1" x14ac:dyDescent="0.35">
      <c r="B42" s="535"/>
      <c r="C42" s="50" t="s">
        <v>121</v>
      </c>
      <c r="D42" s="529"/>
      <c r="E42" s="51" t="s">
        <v>145</v>
      </c>
      <c r="F42" s="52" t="s">
        <v>152</v>
      </c>
      <c r="G42" s="378"/>
      <c r="H42" s="379"/>
      <c r="I42" s="380"/>
      <c r="J42" s="381"/>
      <c r="K42" s="377" t="str">
        <f>IF(TRIM(J42)="", "", IF(VLOOKUP(J42,'Footnotes list'!$D$9:$E$58,2,FALSE)=0,"",VLOOKUP(J42,'Footnotes list'!$D$9:$E$58,2,FALSE) ) )</f>
        <v/>
      </c>
      <c r="L42" s="378"/>
      <c r="M42" s="379"/>
      <c r="N42" s="380"/>
      <c r="O42" s="381"/>
      <c r="P42" s="377" t="str">
        <f>IF(TRIM(O42)="", "", IF(VLOOKUP(O42,'Footnotes list'!$D$9:$E$58,2,FALSE)=0,"",VLOOKUP(O42,'Footnotes list'!$D$9:$E$58,2,FALSE) ) )</f>
        <v/>
      </c>
      <c r="Q42" s="378"/>
      <c r="R42" s="379"/>
      <c r="S42" s="380"/>
      <c r="T42" s="381"/>
      <c r="U42" s="377" t="str">
        <f>IF(TRIM(T42)="", "", IF(VLOOKUP(T42,'Footnotes list'!$D$9:$E$58,2,FALSE)=0,"",VLOOKUP(T42,'Footnotes list'!$D$9:$E$58,2,FALSE) ) )</f>
        <v/>
      </c>
      <c r="V42" s="378"/>
      <c r="W42" s="379"/>
      <c r="X42" s="380"/>
      <c r="Y42" s="381"/>
      <c r="Z42" s="377" t="str">
        <f>IF(TRIM(Y42)="", "", IF(VLOOKUP(Y42,'Footnotes list'!$D$9:$E$58,2,FALSE)=0,"",VLOOKUP(Y42,'Footnotes list'!$D$9:$E$58,2,FALSE) ) )</f>
        <v/>
      </c>
      <c r="AA42" s="129" t="str">
        <f>IF(AND(TRIM(Q42)="",TRIM(V42)=""),"",Q42+V42)</f>
        <v/>
      </c>
      <c r="AB42" s="379"/>
      <c r="AC42" s="380"/>
      <c r="AD42" s="381"/>
      <c r="AE42" s="377" t="str">
        <f>IF(TRIM(AD42)="", "", IF(VLOOKUP(AD42,'Footnotes list'!$D$9:$E$58,2,FALSE)=0,"",VLOOKUP(AD42,'Footnotes list'!$D$9:$E$58,2,FALSE) ) )</f>
        <v/>
      </c>
      <c r="AF42" s="378"/>
      <c r="AG42" s="379"/>
      <c r="AH42" s="380"/>
      <c r="AI42" s="381"/>
      <c r="AJ42" s="377" t="str">
        <f>IF(TRIM(AI42)="", "", IF(VLOOKUP(AI42,'Footnotes list'!$D$9:$E$58,2,FALSE)=0,"",VLOOKUP(AI42,'Footnotes list'!$D$9:$E$58,2,FALSE) ) )</f>
        <v/>
      </c>
      <c r="AK42" s="378"/>
      <c r="AL42" s="379"/>
      <c r="AM42" s="380"/>
      <c r="AN42" s="381"/>
      <c r="AO42" s="377" t="str">
        <f>IF(TRIM(AN42)="", "", IF(VLOOKUP(AN42,'Footnotes list'!$D$9:$E$58,2,FALSE)=0,"",VLOOKUP(AN42,'Footnotes list'!$D$9:$E$58,2,FALSE) ) )</f>
        <v/>
      </c>
      <c r="AP42" s="129" t="str">
        <f>IF(AND(TRIM(AF42)="",TRIM(AK42)=""),"",AF42+AK42)</f>
        <v/>
      </c>
      <c r="AQ42" s="379"/>
      <c r="AR42" s="380"/>
      <c r="AS42" s="381"/>
      <c r="AT42" s="377" t="str">
        <f>IF(TRIM(AS42)="", "", IF(VLOOKUP(AS42,'Footnotes list'!$D$9:$E$58,2,FALSE)=0,"",VLOOKUP(AS42,'Footnotes list'!$D$9:$E$58,2,FALSE) ) )</f>
        <v/>
      </c>
      <c r="AU42" s="403" t="str">
        <f>IF(AND(TRIM(G42)="",TRIM(L42)="",TRIM(AA42)="",TRIM(AP42)=""),"",SUM(G42,L42,AA42,AP42))</f>
        <v/>
      </c>
      <c r="AV42" s="379"/>
      <c r="AW42" s="380"/>
      <c r="AX42" s="381"/>
      <c r="AY42" s="377" t="str">
        <f>IF(TRIM(AX42)="", "", IF(VLOOKUP(AX42,'Footnotes list'!$D$9:$E$58,2,FALSE)=0,"",VLOOKUP(AX42,'Footnotes list'!$D$9:$E$58,2,FALSE) ) )</f>
        <v/>
      </c>
    </row>
    <row r="43" spans="2:51" ht="15" customHeight="1" thickBot="1" x14ac:dyDescent="0.4">
      <c r="B43" s="536"/>
      <c r="C43" s="53" t="s">
        <v>121</v>
      </c>
      <c r="D43" s="530"/>
      <c r="E43" s="47" t="s">
        <v>146</v>
      </c>
      <c r="F43" s="54" t="s">
        <v>234</v>
      </c>
      <c r="G43" s="126" t="str">
        <f>IF(AND(TRIM(G41)="",TRIM(G42)=""),"",G41+G42)</f>
        <v/>
      </c>
      <c r="H43" s="379"/>
      <c r="I43" s="380"/>
      <c r="J43" s="381"/>
      <c r="K43" s="377" t="str">
        <f>IF(TRIM(J43)="", "", IF(VLOOKUP(J43,'Footnotes list'!$D$9:$E$58,2,FALSE)=0,"",VLOOKUP(J43,'Footnotes list'!$D$9:$E$58,2,FALSE) ) )</f>
        <v/>
      </c>
      <c r="L43" s="126" t="str">
        <f>IF(AND(TRIM(L41)="",TRIM(L42)=""),"",L41+L42)</f>
        <v/>
      </c>
      <c r="M43" s="379"/>
      <c r="N43" s="380"/>
      <c r="O43" s="381"/>
      <c r="P43" s="377" t="str">
        <f>IF(TRIM(O43)="", "", IF(VLOOKUP(O43,'Footnotes list'!$D$9:$E$58,2,FALSE)=0,"",VLOOKUP(O43,'Footnotes list'!$D$9:$E$58,2,FALSE) ) )</f>
        <v/>
      </c>
      <c r="Q43" s="126" t="str">
        <f>IF(AND(TRIM(Q41)="",TRIM(Q42)=""),"",Q41+Q42)</f>
        <v/>
      </c>
      <c r="R43" s="379"/>
      <c r="S43" s="380"/>
      <c r="T43" s="381"/>
      <c r="U43" s="377" t="str">
        <f>IF(TRIM(T43)="", "", IF(VLOOKUP(T43,'Footnotes list'!$D$9:$E$58,2,FALSE)=0,"",VLOOKUP(T43,'Footnotes list'!$D$9:$E$58,2,FALSE) ) )</f>
        <v/>
      </c>
      <c r="V43" s="126" t="str">
        <f>IF(AND(TRIM(V41)="",TRIM(V42)=""),"",V41+V42)</f>
        <v/>
      </c>
      <c r="W43" s="379"/>
      <c r="X43" s="380"/>
      <c r="Y43" s="381"/>
      <c r="Z43" s="377" t="str">
        <f>IF(TRIM(Y43)="", "", IF(VLOOKUP(Y43,'Footnotes list'!$D$9:$E$58,2,FALSE)=0,"",VLOOKUP(Y43,'Footnotes list'!$D$9:$E$58,2,FALSE) ) )</f>
        <v/>
      </c>
      <c r="AA43" s="126" t="str">
        <f>IF(AND(TRIM(AA41)="", TRIM(AA42)=""), "", SUM(AA41,AA42))</f>
        <v/>
      </c>
      <c r="AB43" s="379"/>
      <c r="AC43" s="380"/>
      <c r="AD43" s="381"/>
      <c r="AE43" s="377" t="str">
        <f>IF(TRIM(AD43)="", "", IF(VLOOKUP(AD43,'Footnotes list'!$D$9:$E$58,2,FALSE)=0,"",VLOOKUP(AD43,'Footnotes list'!$D$9:$E$58,2,FALSE) ) )</f>
        <v/>
      </c>
      <c r="AF43" s="126" t="str">
        <f>IF(AND(TRIM(AF41)="",TRIM(AF42)=""),"",AF41+AF42)</f>
        <v/>
      </c>
      <c r="AG43" s="379"/>
      <c r="AH43" s="380"/>
      <c r="AI43" s="381"/>
      <c r="AJ43" s="377" t="str">
        <f>IF(TRIM(AI43)="", "", IF(VLOOKUP(AI43,'Footnotes list'!$D$9:$E$58,2,FALSE)=0,"",VLOOKUP(AI43,'Footnotes list'!$D$9:$E$58,2,FALSE) ) )</f>
        <v/>
      </c>
      <c r="AK43" s="126" t="str">
        <f>IF(AND(TRIM(AK41)="",TRIM(AK42)=""),"",AK41+AK42)</f>
        <v/>
      </c>
      <c r="AL43" s="379"/>
      <c r="AM43" s="380"/>
      <c r="AN43" s="381"/>
      <c r="AO43" s="377" t="str">
        <f>IF(TRIM(AN43)="", "", IF(VLOOKUP(AN43,'Footnotes list'!$D$9:$E$58,2,FALSE)=0,"",VLOOKUP(AN43,'Footnotes list'!$D$9:$E$58,2,FALSE) ) )</f>
        <v/>
      </c>
      <c r="AP43" s="126" t="str">
        <f>IF(AND(TRIM(AP41)="", TRIM(AP42)=""), "", SUM(AP41,AP42))</f>
        <v/>
      </c>
      <c r="AQ43" s="379"/>
      <c r="AR43" s="380"/>
      <c r="AS43" s="381"/>
      <c r="AT43" s="377" t="str">
        <f>IF(TRIM(AS43)="", "", IF(VLOOKUP(AS43,'Footnotes list'!$D$9:$E$58,2,FALSE)=0,"",VLOOKUP(AS43,'Footnotes list'!$D$9:$E$58,2,FALSE) ) )</f>
        <v/>
      </c>
      <c r="AU43" s="126" t="str">
        <f>IF(AND(TRIM(AU41)="", TRIM(AU42)=""), "", SUM(AU41,AU42) )</f>
        <v/>
      </c>
      <c r="AV43" s="379"/>
      <c r="AW43" s="380"/>
      <c r="AX43" s="381"/>
      <c r="AY43" s="377" t="str">
        <f>IF(TRIM(AX43)="", "", IF(VLOOKUP(AX43,'Footnotes list'!$D$9:$E$58,2,FALSE)=0,"",VLOOKUP(AX43,'Footnotes list'!$D$9:$E$58,2,FALSE) ) )</f>
        <v/>
      </c>
    </row>
    <row r="44" spans="2:51" ht="15" customHeight="1" thickBot="1" x14ac:dyDescent="0.4">
      <c r="B44" s="534" t="s">
        <v>122</v>
      </c>
      <c r="C44" s="55"/>
      <c r="D44" s="528" t="s">
        <v>88</v>
      </c>
      <c r="E44" s="55"/>
      <c r="F44" s="45" t="s">
        <v>233</v>
      </c>
      <c r="G44" s="125"/>
      <c r="H44" s="133"/>
      <c r="I44" s="134"/>
      <c r="J44" s="135"/>
      <c r="K44" s="136"/>
      <c r="L44" s="125"/>
      <c r="M44" s="133"/>
      <c r="N44" s="134"/>
      <c r="O44" s="135"/>
      <c r="P44" s="136"/>
      <c r="Q44" s="125"/>
      <c r="R44" s="133"/>
      <c r="S44" s="134"/>
      <c r="T44" s="135"/>
      <c r="U44" s="136"/>
      <c r="V44" s="125"/>
      <c r="W44" s="133"/>
      <c r="X44" s="134"/>
      <c r="Y44" s="135"/>
      <c r="Z44" s="136"/>
      <c r="AA44" s="125"/>
      <c r="AB44" s="133"/>
      <c r="AC44" s="134"/>
      <c r="AD44" s="135"/>
      <c r="AE44" s="136"/>
      <c r="AF44" s="125"/>
      <c r="AG44" s="133"/>
      <c r="AH44" s="134"/>
      <c r="AI44" s="135"/>
      <c r="AJ44" s="136"/>
      <c r="AK44" s="125"/>
      <c r="AL44" s="133"/>
      <c r="AM44" s="134"/>
      <c r="AN44" s="135"/>
      <c r="AO44" s="136"/>
      <c r="AP44" s="125"/>
      <c r="AQ44" s="133"/>
      <c r="AR44" s="134"/>
      <c r="AS44" s="135"/>
      <c r="AT44" s="136"/>
      <c r="AU44" s="125"/>
      <c r="AV44" s="133"/>
      <c r="AW44" s="134"/>
      <c r="AX44" s="135"/>
      <c r="AY44" s="136"/>
    </row>
    <row r="45" spans="2:51" ht="15" customHeight="1" x14ac:dyDescent="0.35">
      <c r="B45" s="535"/>
      <c r="C45" s="50" t="s">
        <v>122</v>
      </c>
      <c r="D45" s="529"/>
      <c r="E45" s="51" t="s">
        <v>145</v>
      </c>
      <c r="F45" s="52" t="s">
        <v>152</v>
      </c>
      <c r="G45" s="378"/>
      <c r="H45" s="379"/>
      <c r="I45" s="380"/>
      <c r="J45" s="381"/>
      <c r="K45" s="377" t="str">
        <f>IF(TRIM(J45)="", "", IF(VLOOKUP(J45,'Footnotes list'!$D$9:$E$58,2,FALSE)=0,"",VLOOKUP(J45,'Footnotes list'!$D$9:$E$58,2,FALSE) ) )</f>
        <v/>
      </c>
      <c r="L45" s="378"/>
      <c r="M45" s="379"/>
      <c r="N45" s="380"/>
      <c r="O45" s="381"/>
      <c r="P45" s="377" t="str">
        <f>IF(TRIM(O45)="", "", IF(VLOOKUP(O45,'Footnotes list'!$D$9:$E$58,2,FALSE)=0,"",VLOOKUP(O45,'Footnotes list'!$D$9:$E$58,2,FALSE) ) )</f>
        <v/>
      </c>
      <c r="Q45" s="378"/>
      <c r="R45" s="379"/>
      <c r="S45" s="380"/>
      <c r="T45" s="381"/>
      <c r="U45" s="377" t="str">
        <f>IF(TRIM(T45)="", "", IF(VLOOKUP(T45,'Footnotes list'!$D$9:$E$58,2,FALSE)=0,"",VLOOKUP(T45,'Footnotes list'!$D$9:$E$58,2,FALSE) ) )</f>
        <v/>
      </c>
      <c r="V45" s="378"/>
      <c r="W45" s="379"/>
      <c r="X45" s="380"/>
      <c r="Y45" s="381"/>
      <c r="Z45" s="377" t="str">
        <f>IF(TRIM(Y45)="", "", IF(VLOOKUP(Y45,'Footnotes list'!$D$9:$E$58,2,FALSE)=0,"",VLOOKUP(Y45,'Footnotes list'!$D$9:$E$58,2,FALSE) ) )</f>
        <v/>
      </c>
      <c r="AA45" s="129" t="str">
        <f>IF(AND(TRIM(Q45)="",TRIM(V45)=""),"",Q45+V45)</f>
        <v/>
      </c>
      <c r="AB45" s="379"/>
      <c r="AC45" s="380"/>
      <c r="AD45" s="381"/>
      <c r="AE45" s="377" t="str">
        <f>IF(TRIM(AD45)="", "", IF(VLOOKUP(AD45,'Footnotes list'!$D$9:$E$58,2,FALSE)=0,"",VLOOKUP(AD45,'Footnotes list'!$D$9:$E$58,2,FALSE) ) )</f>
        <v/>
      </c>
      <c r="AF45" s="378"/>
      <c r="AG45" s="379"/>
      <c r="AH45" s="380"/>
      <c r="AI45" s="381"/>
      <c r="AJ45" s="377" t="str">
        <f>IF(TRIM(AI45)="", "", IF(VLOOKUP(AI45,'Footnotes list'!$D$9:$E$58,2,FALSE)=0,"",VLOOKUP(AI45,'Footnotes list'!$D$9:$E$58,2,FALSE) ) )</f>
        <v/>
      </c>
      <c r="AK45" s="378"/>
      <c r="AL45" s="379"/>
      <c r="AM45" s="380"/>
      <c r="AN45" s="381"/>
      <c r="AO45" s="377" t="str">
        <f>IF(TRIM(AN45)="", "", IF(VLOOKUP(AN45,'Footnotes list'!$D$9:$E$58,2,FALSE)=0,"",VLOOKUP(AN45,'Footnotes list'!$D$9:$E$58,2,FALSE) ) )</f>
        <v/>
      </c>
      <c r="AP45" s="129" t="str">
        <f>IF(AND(TRIM(AF45)="",TRIM(AK45)=""),"",AF45+AK45)</f>
        <v/>
      </c>
      <c r="AQ45" s="379"/>
      <c r="AR45" s="380"/>
      <c r="AS45" s="381"/>
      <c r="AT45" s="377" t="str">
        <f>IF(TRIM(AS45)="", "", IF(VLOOKUP(AS45,'Footnotes list'!$D$9:$E$58,2,FALSE)=0,"",VLOOKUP(AS45,'Footnotes list'!$D$9:$E$58,2,FALSE) ) )</f>
        <v/>
      </c>
      <c r="AU45" s="403" t="str">
        <f>IF(AND(TRIM(G45)="",TRIM(L45)="",TRIM(AA45)="",TRIM(AP45)=""),"",SUM(G45,L45,AA45,AP45))</f>
        <v/>
      </c>
      <c r="AV45" s="379"/>
      <c r="AW45" s="380"/>
      <c r="AX45" s="381"/>
      <c r="AY45" s="377" t="str">
        <f>IF(TRIM(AX45)="", "", IF(VLOOKUP(AX45,'Footnotes list'!$D$9:$E$58,2,FALSE)=0,"",VLOOKUP(AX45,'Footnotes list'!$D$9:$E$58,2,FALSE) ) )</f>
        <v/>
      </c>
    </row>
    <row r="46" spans="2:51" ht="15" customHeight="1" thickBot="1" x14ac:dyDescent="0.4">
      <c r="B46" s="536"/>
      <c r="C46" s="53" t="s">
        <v>122</v>
      </c>
      <c r="D46" s="530"/>
      <c r="E46" s="47" t="s">
        <v>146</v>
      </c>
      <c r="F46" s="54" t="s">
        <v>234</v>
      </c>
      <c r="G46" s="126" t="str">
        <f>IF(AND(TRIM(G44)="",TRIM(G45)=""),"",G44+G45)</f>
        <v/>
      </c>
      <c r="H46" s="379"/>
      <c r="I46" s="380"/>
      <c r="J46" s="381"/>
      <c r="K46" s="377" t="str">
        <f>IF(TRIM(J46)="", "", IF(VLOOKUP(J46,'Footnotes list'!$D$9:$E$58,2,FALSE)=0,"",VLOOKUP(J46,'Footnotes list'!$D$9:$E$58,2,FALSE) ) )</f>
        <v/>
      </c>
      <c r="L46" s="126" t="str">
        <f>IF(AND(TRIM(L44)="",TRIM(L45)=""),"",L44+L45)</f>
        <v/>
      </c>
      <c r="M46" s="379"/>
      <c r="N46" s="380"/>
      <c r="O46" s="381"/>
      <c r="P46" s="377" t="str">
        <f>IF(TRIM(O46)="", "", IF(VLOOKUP(O46,'Footnotes list'!$D$9:$E$58,2,FALSE)=0,"",VLOOKUP(O46,'Footnotes list'!$D$9:$E$58,2,FALSE) ) )</f>
        <v/>
      </c>
      <c r="Q46" s="126" t="str">
        <f>IF(AND(TRIM(Q44)="",TRIM(Q45)=""),"",Q44+Q45)</f>
        <v/>
      </c>
      <c r="R46" s="379"/>
      <c r="S46" s="380"/>
      <c r="T46" s="381"/>
      <c r="U46" s="377" t="str">
        <f>IF(TRIM(T46)="", "", IF(VLOOKUP(T46,'Footnotes list'!$D$9:$E$58,2,FALSE)=0,"",VLOOKUP(T46,'Footnotes list'!$D$9:$E$58,2,FALSE) ) )</f>
        <v/>
      </c>
      <c r="V46" s="126" t="str">
        <f>IF(AND(TRIM(V44)="",TRIM(V45)=""),"",V44+V45)</f>
        <v/>
      </c>
      <c r="W46" s="379"/>
      <c r="X46" s="380"/>
      <c r="Y46" s="381"/>
      <c r="Z46" s="377" t="str">
        <f>IF(TRIM(Y46)="", "", IF(VLOOKUP(Y46,'Footnotes list'!$D$9:$E$58,2,FALSE)=0,"",VLOOKUP(Y46,'Footnotes list'!$D$9:$E$58,2,FALSE) ) )</f>
        <v/>
      </c>
      <c r="AA46" s="126" t="str">
        <f>IF(AND(TRIM(AA44)="", TRIM(AA45)=""), "", SUM(AA44,AA45))</f>
        <v/>
      </c>
      <c r="AB46" s="379"/>
      <c r="AC46" s="380"/>
      <c r="AD46" s="381"/>
      <c r="AE46" s="377" t="str">
        <f>IF(TRIM(AD46)="", "", IF(VLOOKUP(AD46,'Footnotes list'!$D$9:$E$58,2,FALSE)=0,"",VLOOKUP(AD46,'Footnotes list'!$D$9:$E$58,2,FALSE) ) )</f>
        <v/>
      </c>
      <c r="AF46" s="126" t="str">
        <f>IF(AND(TRIM(AF44)="",TRIM(AF45)=""),"",AF44+AF45)</f>
        <v/>
      </c>
      <c r="AG46" s="379"/>
      <c r="AH46" s="380"/>
      <c r="AI46" s="381"/>
      <c r="AJ46" s="377" t="str">
        <f>IF(TRIM(AI46)="", "", IF(VLOOKUP(AI46,'Footnotes list'!$D$9:$E$58,2,FALSE)=0,"",VLOOKUP(AI46,'Footnotes list'!$D$9:$E$58,2,FALSE) ) )</f>
        <v/>
      </c>
      <c r="AK46" s="126" t="str">
        <f>IF(AND(TRIM(AK44)="",TRIM(AK45)=""),"",AK44+AK45)</f>
        <v/>
      </c>
      <c r="AL46" s="379"/>
      <c r="AM46" s="380"/>
      <c r="AN46" s="381"/>
      <c r="AO46" s="377" t="str">
        <f>IF(TRIM(AN46)="", "", IF(VLOOKUP(AN46,'Footnotes list'!$D$9:$E$58,2,FALSE)=0,"",VLOOKUP(AN46,'Footnotes list'!$D$9:$E$58,2,FALSE) ) )</f>
        <v/>
      </c>
      <c r="AP46" s="126" t="str">
        <f>IF(AND(TRIM(AP44)="", TRIM(AP45)=""), "", SUM(AP44,AP45))</f>
        <v/>
      </c>
      <c r="AQ46" s="379"/>
      <c r="AR46" s="380"/>
      <c r="AS46" s="381"/>
      <c r="AT46" s="377" t="str">
        <f>IF(TRIM(AS46)="", "", IF(VLOOKUP(AS46,'Footnotes list'!$D$9:$E$58,2,FALSE)=0,"",VLOOKUP(AS46,'Footnotes list'!$D$9:$E$58,2,FALSE) ) )</f>
        <v/>
      </c>
      <c r="AU46" s="126" t="str">
        <f>IF(AND(TRIM(AU44)="", TRIM(AU45)=""), "", SUM(AU44,AU45) )</f>
        <v/>
      </c>
      <c r="AV46" s="379"/>
      <c r="AW46" s="380"/>
      <c r="AX46" s="381"/>
      <c r="AY46" s="377" t="str">
        <f>IF(TRIM(AX46)="", "", IF(VLOOKUP(AX46,'Footnotes list'!$D$9:$E$58,2,FALSE)=0,"",VLOOKUP(AX46,'Footnotes list'!$D$9:$E$58,2,FALSE) ) )</f>
        <v/>
      </c>
    </row>
    <row r="47" spans="2:51" ht="15" customHeight="1" thickBot="1" x14ac:dyDescent="0.4">
      <c r="B47" s="534" t="s">
        <v>123</v>
      </c>
      <c r="C47" s="55"/>
      <c r="D47" s="528" t="s">
        <v>89</v>
      </c>
      <c r="E47" s="55"/>
      <c r="F47" s="45" t="s">
        <v>233</v>
      </c>
      <c r="G47" s="125"/>
      <c r="H47" s="133"/>
      <c r="I47" s="134"/>
      <c r="J47" s="135"/>
      <c r="K47" s="136"/>
      <c r="L47" s="125"/>
      <c r="M47" s="133"/>
      <c r="N47" s="134"/>
      <c r="O47" s="135"/>
      <c r="P47" s="136"/>
      <c r="Q47" s="125"/>
      <c r="R47" s="133"/>
      <c r="S47" s="134"/>
      <c r="T47" s="135"/>
      <c r="U47" s="136"/>
      <c r="V47" s="125"/>
      <c r="W47" s="133"/>
      <c r="X47" s="134"/>
      <c r="Y47" s="135"/>
      <c r="Z47" s="136"/>
      <c r="AA47" s="125"/>
      <c r="AB47" s="133"/>
      <c r="AC47" s="134"/>
      <c r="AD47" s="135"/>
      <c r="AE47" s="136"/>
      <c r="AF47" s="125"/>
      <c r="AG47" s="133"/>
      <c r="AH47" s="134"/>
      <c r="AI47" s="135"/>
      <c r="AJ47" s="136"/>
      <c r="AK47" s="125"/>
      <c r="AL47" s="133"/>
      <c r="AM47" s="134"/>
      <c r="AN47" s="135"/>
      <c r="AO47" s="136"/>
      <c r="AP47" s="125"/>
      <c r="AQ47" s="133"/>
      <c r="AR47" s="134"/>
      <c r="AS47" s="135"/>
      <c r="AT47" s="136"/>
      <c r="AU47" s="125"/>
      <c r="AV47" s="133"/>
      <c r="AW47" s="134"/>
      <c r="AX47" s="135"/>
      <c r="AY47" s="136"/>
    </row>
    <row r="48" spans="2:51" ht="15" customHeight="1" x14ac:dyDescent="0.35">
      <c r="B48" s="535"/>
      <c r="C48" s="50" t="s">
        <v>123</v>
      </c>
      <c r="D48" s="529"/>
      <c r="E48" s="51" t="s">
        <v>145</v>
      </c>
      <c r="F48" s="52" t="s">
        <v>152</v>
      </c>
      <c r="G48" s="378"/>
      <c r="H48" s="379"/>
      <c r="I48" s="380"/>
      <c r="J48" s="381"/>
      <c r="K48" s="377" t="str">
        <f>IF(TRIM(J48)="", "", IF(VLOOKUP(J48,'Footnotes list'!$D$9:$E$58,2,FALSE)=0,"",VLOOKUP(J48,'Footnotes list'!$D$9:$E$58,2,FALSE) ) )</f>
        <v/>
      </c>
      <c r="L48" s="378"/>
      <c r="M48" s="379"/>
      <c r="N48" s="380"/>
      <c r="O48" s="381"/>
      <c r="P48" s="377" t="str">
        <f>IF(TRIM(O48)="", "", IF(VLOOKUP(O48,'Footnotes list'!$D$9:$E$58,2,FALSE)=0,"",VLOOKUP(O48,'Footnotes list'!$D$9:$E$58,2,FALSE) ) )</f>
        <v/>
      </c>
      <c r="Q48" s="378"/>
      <c r="R48" s="379"/>
      <c r="S48" s="380"/>
      <c r="T48" s="381"/>
      <c r="U48" s="377" t="str">
        <f>IF(TRIM(T48)="", "", IF(VLOOKUP(T48,'Footnotes list'!$D$9:$E$58,2,FALSE)=0,"",VLOOKUP(T48,'Footnotes list'!$D$9:$E$58,2,FALSE) ) )</f>
        <v/>
      </c>
      <c r="V48" s="378"/>
      <c r="W48" s="379"/>
      <c r="X48" s="380"/>
      <c r="Y48" s="381"/>
      <c r="Z48" s="377" t="str">
        <f>IF(TRIM(Y48)="", "", IF(VLOOKUP(Y48,'Footnotes list'!$D$9:$E$58,2,FALSE)=0,"",VLOOKUP(Y48,'Footnotes list'!$D$9:$E$58,2,FALSE) ) )</f>
        <v/>
      </c>
      <c r="AA48" s="129" t="str">
        <f>IF(AND(TRIM(Q48)="",TRIM(V48)=""),"",Q48+V48)</f>
        <v/>
      </c>
      <c r="AB48" s="379"/>
      <c r="AC48" s="380"/>
      <c r="AD48" s="381"/>
      <c r="AE48" s="377" t="str">
        <f>IF(TRIM(AD48)="", "", IF(VLOOKUP(AD48,'Footnotes list'!$D$9:$E$58,2,FALSE)=0,"",VLOOKUP(AD48,'Footnotes list'!$D$9:$E$58,2,FALSE) ) )</f>
        <v/>
      </c>
      <c r="AF48" s="378"/>
      <c r="AG48" s="379"/>
      <c r="AH48" s="380"/>
      <c r="AI48" s="381"/>
      <c r="AJ48" s="377" t="str">
        <f>IF(TRIM(AI48)="", "", IF(VLOOKUP(AI48,'Footnotes list'!$D$9:$E$58,2,FALSE)=0,"",VLOOKUP(AI48,'Footnotes list'!$D$9:$E$58,2,FALSE) ) )</f>
        <v/>
      </c>
      <c r="AK48" s="378"/>
      <c r="AL48" s="379"/>
      <c r="AM48" s="380"/>
      <c r="AN48" s="381"/>
      <c r="AO48" s="377" t="str">
        <f>IF(TRIM(AN48)="", "", IF(VLOOKUP(AN48,'Footnotes list'!$D$9:$E$58,2,FALSE)=0,"",VLOOKUP(AN48,'Footnotes list'!$D$9:$E$58,2,FALSE) ) )</f>
        <v/>
      </c>
      <c r="AP48" s="129" t="str">
        <f>IF(AND(TRIM(AF48)="",TRIM(AK48)=""),"",AF48+AK48)</f>
        <v/>
      </c>
      <c r="AQ48" s="379"/>
      <c r="AR48" s="380"/>
      <c r="AS48" s="381"/>
      <c r="AT48" s="377" t="str">
        <f>IF(TRIM(AS48)="", "", IF(VLOOKUP(AS48,'Footnotes list'!$D$9:$E$58,2,FALSE)=0,"",VLOOKUP(AS48,'Footnotes list'!$D$9:$E$58,2,FALSE) ) )</f>
        <v/>
      </c>
      <c r="AU48" s="403" t="str">
        <f>IF(AND(TRIM(G48)="",TRIM(L48)="",TRIM(AA48)="",TRIM(AP48)=""),"",SUM(G48,L48,AA48,AP48))</f>
        <v/>
      </c>
      <c r="AV48" s="379"/>
      <c r="AW48" s="380"/>
      <c r="AX48" s="381"/>
      <c r="AY48" s="377" t="str">
        <f>IF(TRIM(AX48)="", "", IF(VLOOKUP(AX48,'Footnotes list'!$D$9:$E$58,2,FALSE)=0,"",VLOOKUP(AX48,'Footnotes list'!$D$9:$E$58,2,FALSE) ) )</f>
        <v/>
      </c>
    </row>
    <row r="49" spans="2:51" ht="15" customHeight="1" thickBot="1" x14ac:dyDescent="0.4">
      <c r="B49" s="536"/>
      <c r="C49" s="53" t="s">
        <v>123</v>
      </c>
      <c r="D49" s="530"/>
      <c r="E49" s="47" t="s">
        <v>146</v>
      </c>
      <c r="F49" s="54" t="s">
        <v>234</v>
      </c>
      <c r="G49" s="126" t="str">
        <f>IF(AND(TRIM(G47)="",TRIM(G48)=""),"",G47+G48)</f>
        <v/>
      </c>
      <c r="H49" s="379"/>
      <c r="I49" s="380"/>
      <c r="J49" s="381"/>
      <c r="K49" s="377" t="str">
        <f>IF(TRIM(J49)="", "", IF(VLOOKUP(J49,'Footnotes list'!$D$9:$E$58,2,FALSE)=0,"",VLOOKUP(J49,'Footnotes list'!$D$9:$E$58,2,FALSE) ) )</f>
        <v/>
      </c>
      <c r="L49" s="126" t="str">
        <f>IF(AND(TRIM(L47)="",TRIM(L48)=""),"",L47+L48)</f>
        <v/>
      </c>
      <c r="M49" s="379"/>
      <c r="N49" s="380"/>
      <c r="O49" s="381"/>
      <c r="P49" s="377" t="str">
        <f>IF(TRIM(O49)="", "", IF(VLOOKUP(O49,'Footnotes list'!$D$9:$E$58,2,FALSE)=0,"",VLOOKUP(O49,'Footnotes list'!$D$9:$E$58,2,FALSE) ) )</f>
        <v/>
      </c>
      <c r="Q49" s="126" t="str">
        <f>IF(AND(TRIM(Q47)="",TRIM(Q48)=""),"",Q47+Q48)</f>
        <v/>
      </c>
      <c r="R49" s="379"/>
      <c r="S49" s="380"/>
      <c r="T49" s="381"/>
      <c r="U49" s="377" t="str">
        <f>IF(TRIM(T49)="", "", IF(VLOOKUP(T49,'Footnotes list'!$D$9:$E$58,2,FALSE)=0,"",VLOOKUP(T49,'Footnotes list'!$D$9:$E$58,2,FALSE) ) )</f>
        <v/>
      </c>
      <c r="V49" s="126" t="str">
        <f>IF(AND(TRIM(V47)="",TRIM(V48)=""),"",V47+V48)</f>
        <v/>
      </c>
      <c r="W49" s="379"/>
      <c r="X49" s="380"/>
      <c r="Y49" s="381"/>
      <c r="Z49" s="377" t="str">
        <f>IF(TRIM(Y49)="", "", IF(VLOOKUP(Y49,'Footnotes list'!$D$9:$E$58,2,FALSE)=0,"",VLOOKUP(Y49,'Footnotes list'!$D$9:$E$58,2,FALSE) ) )</f>
        <v/>
      </c>
      <c r="AA49" s="126" t="str">
        <f>IF(AND(TRIM(AA47)="", TRIM(AA48)=""), "", SUM(AA47,AA48))</f>
        <v/>
      </c>
      <c r="AB49" s="379"/>
      <c r="AC49" s="380"/>
      <c r="AD49" s="381"/>
      <c r="AE49" s="377" t="str">
        <f>IF(TRIM(AD49)="", "", IF(VLOOKUP(AD49,'Footnotes list'!$D$9:$E$58,2,FALSE)=0,"",VLOOKUP(AD49,'Footnotes list'!$D$9:$E$58,2,FALSE) ) )</f>
        <v/>
      </c>
      <c r="AF49" s="126" t="str">
        <f>IF(AND(TRIM(AF47)="",TRIM(AF48)=""),"",AF47+AF48)</f>
        <v/>
      </c>
      <c r="AG49" s="379"/>
      <c r="AH49" s="380"/>
      <c r="AI49" s="381"/>
      <c r="AJ49" s="377" t="str">
        <f>IF(TRIM(AI49)="", "", IF(VLOOKUP(AI49,'Footnotes list'!$D$9:$E$58,2,FALSE)=0,"",VLOOKUP(AI49,'Footnotes list'!$D$9:$E$58,2,FALSE) ) )</f>
        <v/>
      </c>
      <c r="AK49" s="126" t="str">
        <f>IF(AND(TRIM(AK47)="",TRIM(AK48)=""),"",AK47+AK48)</f>
        <v/>
      </c>
      <c r="AL49" s="379"/>
      <c r="AM49" s="380"/>
      <c r="AN49" s="381"/>
      <c r="AO49" s="377" t="str">
        <f>IF(TRIM(AN49)="", "", IF(VLOOKUP(AN49,'Footnotes list'!$D$9:$E$58,2,FALSE)=0,"",VLOOKUP(AN49,'Footnotes list'!$D$9:$E$58,2,FALSE) ) )</f>
        <v/>
      </c>
      <c r="AP49" s="126" t="str">
        <f>IF(AND(TRIM(AP47)="", TRIM(AP48)=""), "", SUM(AP47,AP48))</f>
        <v/>
      </c>
      <c r="AQ49" s="379"/>
      <c r="AR49" s="380"/>
      <c r="AS49" s="381"/>
      <c r="AT49" s="377" t="str">
        <f>IF(TRIM(AS49)="", "", IF(VLOOKUP(AS49,'Footnotes list'!$D$9:$E$58,2,FALSE)=0,"",VLOOKUP(AS49,'Footnotes list'!$D$9:$E$58,2,FALSE) ) )</f>
        <v/>
      </c>
      <c r="AU49" s="126" t="str">
        <f>IF(AND(TRIM(AU47)="", TRIM(AU48)=""), "", SUM(AU47,AU48) )</f>
        <v/>
      </c>
      <c r="AV49" s="379"/>
      <c r="AW49" s="380"/>
      <c r="AX49" s="381"/>
      <c r="AY49" s="377" t="str">
        <f>IF(TRIM(AX49)="", "", IF(VLOOKUP(AX49,'Footnotes list'!$D$9:$E$58,2,FALSE)=0,"",VLOOKUP(AX49,'Footnotes list'!$D$9:$E$58,2,FALSE) ) )</f>
        <v/>
      </c>
    </row>
    <row r="50" spans="2:51" ht="15" customHeight="1" x14ac:dyDescent="0.35">
      <c r="B50" s="534" t="s">
        <v>124</v>
      </c>
      <c r="C50" s="41" t="s">
        <v>124</v>
      </c>
      <c r="D50" s="528" t="s">
        <v>90</v>
      </c>
      <c r="E50" s="42" t="s">
        <v>144</v>
      </c>
      <c r="F50" s="43" t="s">
        <v>151</v>
      </c>
      <c r="G50" s="372"/>
      <c r="H50" s="373"/>
      <c r="I50" s="374"/>
      <c r="J50" s="375"/>
      <c r="K50" s="376" t="str">
        <f>IF(TRIM(J50)="", "", IF(VLOOKUP(J50,'Footnotes list'!$D$9:$E$58,2,FALSE)=0,"",VLOOKUP(J50,'Footnotes list'!$D$9:$E$58,2,FALSE) ) )</f>
        <v/>
      </c>
      <c r="L50" s="372"/>
      <c r="M50" s="373"/>
      <c r="N50" s="374"/>
      <c r="O50" s="375"/>
      <c r="P50" s="376" t="str">
        <f>IF(TRIM(O50)="", "", IF(VLOOKUP(O50,'Footnotes list'!$D$9:$E$58,2,FALSE)=0,"",VLOOKUP(O50,'Footnotes list'!$D$9:$E$58,2,FALSE) ) )</f>
        <v/>
      </c>
      <c r="Q50" s="372"/>
      <c r="R50" s="373"/>
      <c r="S50" s="374"/>
      <c r="T50" s="375"/>
      <c r="U50" s="376" t="str">
        <f>IF(TRIM(T50)="", "", IF(VLOOKUP(T50,'Footnotes list'!$D$9:$E$58,2,FALSE)=0,"",VLOOKUP(T50,'Footnotes list'!$D$9:$E$58,2,FALSE) ) )</f>
        <v/>
      </c>
      <c r="V50" s="372"/>
      <c r="W50" s="373"/>
      <c r="X50" s="374"/>
      <c r="Y50" s="375"/>
      <c r="Z50" s="376" t="str">
        <f>IF(TRIM(Y50)="", "", IF(VLOOKUP(Y50,'Footnotes list'!$D$9:$E$58,2,FALSE)=0,"",VLOOKUP(Y50,'Footnotes list'!$D$9:$E$58,2,FALSE) ) )</f>
        <v/>
      </c>
      <c r="AA50" s="382" t="str">
        <f>IF(AND(TRIM(Q50)="",TRIM(V50)=""),"",Q50+V50)</f>
        <v/>
      </c>
      <c r="AB50" s="373"/>
      <c r="AC50" s="374"/>
      <c r="AD50" s="375"/>
      <c r="AE50" s="376" t="str">
        <f>IF(TRIM(AD50)="", "", IF(VLOOKUP(AD50,'Footnotes list'!$D$9:$E$58,2,FALSE)=0,"",VLOOKUP(AD50,'Footnotes list'!$D$9:$E$58,2,FALSE) ) )</f>
        <v/>
      </c>
      <c r="AF50" s="372"/>
      <c r="AG50" s="373"/>
      <c r="AH50" s="374"/>
      <c r="AI50" s="375"/>
      <c r="AJ50" s="376" t="str">
        <f>IF(TRIM(AI50)="", "", IF(VLOOKUP(AI50,'Footnotes list'!$D$9:$E$58,2,FALSE)=0,"",VLOOKUP(AI50,'Footnotes list'!$D$9:$E$58,2,FALSE) ) )</f>
        <v/>
      </c>
      <c r="AK50" s="372"/>
      <c r="AL50" s="373"/>
      <c r="AM50" s="374"/>
      <c r="AN50" s="375"/>
      <c r="AO50" s="376" t="str">
        <f>IF(TRIM(AN50)="", "", IF(VLOOKUP(AN50,'Footnotes list'!$D$9:$E$58,2,FALSE)=0,"",VLOOKUP(AN50,'Footnotes list'!$D$9:$E$58,2,FALSE) ) )</f>
        <v/>
      </c>
      <c r="AP50" s="382" t="str">
        <f>IF(AND(TRIM(AF50)="",TRIM(AK50)=""),"",AF50+AK50)</f>
        <v/>
      </c>
      <c r="AQ50" s="373"/>
      <c r="AR50" s="374"/>
      <c r="AS50" s="375"/>
      <c r="AT50" s="376" t="str">
        <f>IF(TRIM(AS50)="", "", IF(VLOOKUP(AS50,'Footnotes list'!$D$9:$E$58,2,FALSE)=0,"",VLOOKUP(AS50,'Footnotes list'!$D$9:$E$58,2,FALSE) ) )</f>
        <v/>
      </c>
      <c r="AU50" s="382" t="str">
        <f>IF(AND(TRIM(G50)="",TRIM(L50)="",TRIM(AA50)="",TRIM(AP50)=""),"",SUM(G50,L50,AA50,AP50))</f>
        <v/>
      </c>
      <c r="AV50" s="373"/>
      <c r="AW50" s="374"/>
      <c r="AX50" s="375"/>
      <c r="AY50" s="376" t="str">
        <f>IF(TRIM(AX50)="", "", IF(VLOOKUP(AX50,'Footnotes list'!$D$9:$E$58,2,FALSE)=0,"",VLOOKUP(AX50,'Footnotes list'!$D$9:$E$58,2,FALSE) ) )</f>
        <v/>
      </c>
    </row>
    <row r="51" spans="2:51" ht="15" customHeight="1" x14ac:dyDescent="0.35">
      <c r="B51" s="535"/>
      <c r="C51" s="50" t="s">
        <v>124</v>
      </c>
      <c r="D51" s="529"/>
      <c r="E51" s="51" t="s">
        <v>145</v>
      </c>
      <c r="F51" s="52" t="s">
        <v>152</v>
      </c>
      <c r="G51" s="378"/>
      <c r="H51" s="379"/>
      <c r="I51" s="380"/>
      <c r="J51" s="381"/>
      <c r="K51" s="377" t="str">
        <f>IF(TRIM(J51)="", "", IF(VLOOKUP(J51,'Footnotes list'!$D$9:$E$58,2,FALSE)=0,"",VLOOKUP(J51,'Footnotes list'!$D$9:$E$58,2,FALSE) ) )</f>
        <v/>
      </c>
      <c r="L51" s="378"/>
      <c r="M51" s="379"/>
      <c r="N51" s="380"/>
      <c r="O51" s="381"/>
      <c r="P51" s="377" t="str">
        <f>IF(TRIM(O51)="", "", IF(VLOOKUP(O51,'Footnotes list'!$D$9:$E$58,2,FALSE)=0,"",VLOOKUP(O51,'Footnotes list'!$D$9:$E$58,2,FALSE) ) )</f>
        <v/>
      </c>
      <c r="Q51" s="378"/>
      <c r="R51" s="379"/>
      <c r="S51" s="380"/>
      <c r="T51" s="381"/>
      <c r="U51" s="377" t="str">
        <f>IF(TRIM(T51)="", "", IF(VLOOKUP(T51,'Footnotes list'!$D$9:$E$58,2,FALSE)=0,"",VLOOKUP(T51,'Footnotes list'!$D$9:$E$58,2,FALSE) ) )</f>
        <v/>
      </c>
      <c r="V51" s="378"/>
      <c r="W51" s="379"/>
      <c r="X51" s="380"/>
      <c r="Y51" s="381"/>
      <c r="Z51" s="377" t="str">
        <f>IF(TRIM(Y51)="", "", IF(VLOOKUP(Y51,'Footnotes list'!$D$9:$E$58,2,FALSE)=0,"",VLOOKUP(Y51,'Footnotes list'!$D$9:$E$58,2,FALSE) ) )</f>
        <v/>
      </c>
      <c r="AA51" s="129" t="str">
        <f>IF(AND(TRIM(Q51)="",TRIM(V51)=""),"",Q51+V51)</f>
        <v/>
      </c>
      <c r="AB51" s="379"/>
      <c r="AC51" s="380"/>
      <c r="AD51" s="381"/>
      <c r="AE51" s="377" t="str">
        <f>IF(TRIM(AD51)="", "", IF(VLOOKUP(AD51,'Footnotes list'!$D$9:$E$58,2,FALSE)=0,"",VLOOKUP(AD51,'Footnotes list'!$D$9:$E$58,2,FALSE) ) )</f>
        <v/>
      </c>
      <c r="AF51" s="378"/>
      <c r="AG51" s="379"/>
      <c r="AH51" s="380"/>
      <c r="AI51" s="381"/>
      <c r="AJ51" s="377" t="str">
        <f>IF(TRIM(AI51)="", "", IF(VLOOKUP(AI51,'Footnotes list'!$D$9:$E$58,2,FALSE)=0,"",VLOOKUP(AI51,'Footnotes list'!$D$9:$E$58,2,FALSE) ) )</f>
        <v/>
      </c>
      <c r="AK51" s="378"/>
      <c r="AL51" s="379"/>
      <c r="AM51" s="380"/>
      <c r="AN51" s="381"/>
      <c r="AO51" s="377" t="str">
        <f>IF(TRIM(AN51)="", "", IF(VLOOKUP(AN51,'Footnotes list'!$D$9:$E$58,2,FALSE)=0,"",VLOOKUP(AN51,'Footnotes list'!$D$9:$E$58,2,FALSE) ) )</f>
        <v/>
      </c>
      <c r="AP51" s="129" t="str">
        <f>IF(AND(TRIM(AF51)="",TRIM(AK51)=""),"",AF51+AK51)</f>
        <v/>
      </c>
      <c r="AQ51" s="379"/>
      <c r="AR51" s="380"/>
      <c r="AS51" s="381"/>
      <c r="AT51" s="377" t="str">
        <f>IF(TRIM(AS51)="", "", IF(VLOOKUP(AS51,'Footnotes list'!$D$9:$E$58,2,FALSE)=0,"",VLOOKUP(AS51,'Footnotes list'!$D$9:$E$58,2,FALSE) ) )</f>
        <v/>
      </c>
      <c r="AU51" s="403" t="str">
        <f>IF(AND(TRIM(G51)="",TRIM(L51)="",TRIM(AA51)="",TRIM(AP51)=""),"",SUM(G51,L51,AA51,AP51))</f>
        <v/>
      </c>
      <c r="AV51" s="379"/>
      <c r="AW51" s="380"/>
      <c r="AX51" s="381"/>
      <c r="AY51" s="377" t="str">
        <f>IF(TRIM(AX51)="", "", IF(VLOOKUP(AX51,'Footnotes list'!$D$9:$E$58,2,FALSE)=0,"",VLOOKUP(AX51,'Footnotes list'!$D$9:$E$58,2,FALSE) ) )</f>
        <v/>
      </c>
    </row>
    <row r="52" spans="2:51" ht="15" customHeight="1" thickBot="1" x14ac:dyDescent="0.4">
      <c r="B52" s="536"/>
      <c r="C52" s="53" t="s">
        <v>124</v>
      </c>
      <c r="D52" s="530"/>
      <c r="E52" s="47" t="s">
        <v>146</v>
      </c>
      <c r="F52" s="54" t="s">
        <v>234</v>
      </c>
      <c r="G52" s="126" t="str">
        <f>IF(AND(TRIM(G50)="",TRIM(G51)=""),"",G50+G51)</f>
        <v/>
      </c>
      <c r="H52" s="379"/>
      <c r="I52" s="380"/>
      <c r="J52" s="381"/>
      <c r="K52" s="377" t="str">
        <f>IF(TRIM(J52)="", "", IF(VLOOKUP(J52,'Footnotes list'!$D$9:$E$58,2,FALSE)=0,"",VLOOKUP(J52,'Footnotes list'!$D$9:$E$58,2,FALSE) ) )</f>
        <v/>
      </c>
      <c r="L52" s="126" t="str">
        <f>IF(AND(TRIM(L50)="",TRIM(L51)=""),"",L50+L51)</f>
        <v/>
      </c>
      <c r="M52" s="379"/>
      <c r="N52" s="380"/>
      <c r="O52" s="381"/>
      <c r="P52" s="377" t="str">
        <f>IF(TRIM(O52)="", "", IF(VLOOKUP(O52,'Footnotes list'!$D$9:$E$58,2,FALSE)=0,"",VLOOKUP(O52,'Footnotes list'!$D$9:$E$58,2,FALSE) ) )</f>
        <v/>
      </c>
      <c r="Q52" s="126" t="str">
        <f>IF(AND(TRIM(Q50)="",TRIM(Q51)=""),"",Q50+Q51)</f>
        <v/>
      </c>
      <c r="R52" s="379"/>
      <c r="S52" s="380"/>
      <c r="T52" s="381"/>
      <c r="U52" s="377" t="str">
        <f>IF(TRIM(T52)="", "", IF(VLOOKUP(T52,'Footnotes list'!$D$9:$E$58,2,FALSE)=0,"",VLOOKUP(T52,'Footnotes list'!$D$9:$E$58,2,FALSE) ) )</f>
        <v/>
      </c>
      <c r="V52" s="126" t="str">
        <f>IF(AND(TRIM(V50)="",TRIM(V51)=""),"",V50+V51)</f>
        <v/>
      </c>
      <c r="W52" s="379"/>
      <c r="X52" s="380"/>
      <c r="Y52" s="381"/>
      <c r="Z52" s="377" t="str">
        <f>IF(TRIM(Y52)="", "", IF(VLOOKUP(Y52,'Footnotes list'!$D$9:$E$58,2,FALSE)=0,"",VLOOKUP(Y52,'Footnotes list'!$D$9:$E$58,2,FALSE) ) )</f>
        <v/>
      </c>
      <c r="AA52" s="126" t="str">
        <f>IF(AND(TRIM(AA50)="", TRIM(AA51)=""), "", SUM(AA50,AA51))</f>
        <v/>
      </c>
      <c r="AB52" s="379"/>
      <c r="AC52" s="380"/>
      <c r="AD52" s="381"/>
      <c r="AE52" s="377" t="str">
        <f>IF(TRIM(AD52)="", "", IF(VLOOKUP(AD52,'Footnotes list'!$D$9:$E$58,2,FALSE)=0,"",VLOOKUP(AD52,'Footnotes list'!$D$9:$E$58,2,FALSE) ) )</f>
        <v/>
      </c>
      <c r="AF52" s="126" t="str">
        <f>IF(AND(TRIM(AF50)="",TRIM(AF51)=""),"",AF50+AF51)</f>
        <v/>
      </c>
      <c r="AG52" s="379"/>
      <c r="AH52" s="380"/>
      <c r="AI52" s="381"/>
      <c r="AJ52" s="377" t="str">
        <f>IF(TRIM(AI52)="", "", IF(VLOOKUP(AI52,'Footnotes list'!$D$9:$E$58,2,FALSE)=0,"",VLOOKUP(AI52,'Footnotes list'!$D$9:$E$58,2,FALSE) ) )</f>
        <v/>
      </c>
      <c r="AK52" s="126" t="str">
        <f>IF(AND(TRIM(AK50)="",TRIM(AK51)=""),"",AK50+AK51)</f>
        <v/>
      </c>
      <c r="AL52" s="379"/>
      <c r="AM52" s="380"/>
      <c r="AN52" s="381"/>
      <c r="AO52" s="377" t="str">
        <f>IF(TRIM(AN52)="", "", IF(VLOOKUP(AN52,'Footnotes list'!$D$9:$E$58,2,FALSE)=0,"",VLOOKUP(AN52,'Footnotes list'!$D$9:$E$58,2,FALSE) ) )</f>
        <v/>
      </c>
      <c r="AP52" s="126" t="str">
        <f>IF(AND(TRIM(AP50)="", TRIM(AP51)=""), "", SUM(AP50,AP51))</f>
        <v/>
      </c>
      <c r="AQ52" s="379"/>
      <c r="AR52" s="380"/>
      <c r="AS52" s="381"/>
      <c r="AT52" s="377" t="str">
        <f>IF(TRIM(AS52)="", "", IF(VLOOKUP(AS52,'Footnotes list'!$D$9:$E$58,2,FALSE)=0,"",VLOOKUP(AS52,'Footnotes list'!$D$9:$E$58,2,FALSE) ) )</f>
        <v/>
      </c>
      <c r="AU52" s="126" t="str">
        <f>IF(AND(TRIM(AU50)="", TRIM(AU51)=""), "", SUM(AU50,AU51) )</f>
        <v/>
      </c>
      <c r="AV52" s="379"/>
      <c r="AW52" s="380"/>
      <c r="AX52" s="381"/>
      <c r="AY52" s="377" t="str">
        <f>IF(TRIM(AX52)="", "", IF(VLOOKUP(AX52,'Footnotes list'!$D$9:$E$58,2,FALSE)=0,"",VLOOKUP(AX52,'Footnotes list'!$D$9:$E$58,2,FALSE) ) )</f>
        <v/>
      </c>
    </row>
    <row r="53" spans="2:51" ht="15" customHeight="1" thickBot="1" x14ac:dyDescent="0.4">
      <c r="B53" s="534" t="s">
        <v>125</v>
      </c>
      <c r="C53" s="55"/>
      <c r="D53" s="528" t="s">
        <v>91</v>
      </c>
      <c r="E53" s="55"/>
      <c r="F53" s="45" t="s">
        <v>233</v>
      </c>
      <c r="G53" s="125"/>
      <c r="H53" s="137"/>
      <c r="I53" s="138"/>
      <c r="J53" s="139"/>
      <c r="K53" s="136"/>
      <c r="L53" s="125"/>
      <c r="M53" s="137"/>
      <c r="N53" s="138"/>
      <c r="O53" s="139"/>
      <c r="P53" s="136"/>
      <c r="Q53" s="125"/>
      <c r="R53" s="137"/>
      <c r="S53" s="138"/>
      <c r="T53" s="139"/>
      <c r="U53" s="136"/>
      <c r="V53" s="125"/>
      <c r="W53" s="137"/>
      <c r="X53" s="138"/>
      <c r="Y53" s="139"/>
      <c r="Z53" s="136"/>
      <c r="AA53" s="125"/>
      <c r="AB53" s="137"/>
      <c r="AC53" s="138"/>
      <c r="AD53" s="139"/>
      <c r="AE53" s="136"/>
      <c r="AF53" s="125"/>
      <c r="AG53" s="137"/>
      <c r="AH53" s="138"/>
      <c r="AI53" s="139"/>
      <c r="AJ53" s="136"/>
      <c r="AK53" s="125"/>
      <c r="AL53" s="137"/>
      <c r="AM53" s="138"/>
      <c r="AN53" s="139"/>
      <c r="AO53" s="136"/>
      <c r="AP53" s="125"/>
      <c r="AQ53" s="137"/>
      <c r="AR53" s="138"/>
      <c r="AS53" s="139"/>
      <c r="AT53" s="136"/>
      <c r="AU53" s="125"/>
      <c r="AV53" s="137"/>
      <c r="AW53" s="138"/>
      <c r="AX53" s="139"/>
      <c r="AY53" s="136"/>
    </row>
    <row r="54" spans="2:51" ht="15" customHeight="1" x14ac:dyDescent="0.35">
      <c r="B54" s="535"/>
      <c r="C54" s="50" t="s">
        <v>125</v>
      </c>
      <c r="D54" s="529"/>
      <c r="E54" s="51" t="s">
        <v>145</v>
      </c>
      <c r="F54" s="52" t="s">
        <v>152</v>
      </c>
      <c r="G54" s="378"/>
      <c r="H54" s="379"/>
      <c r="I54" s="380"/>
      <c r="J54" s="381"/>
      <c r="K54" s="377" t="str">
        <f>IF(TRIM(J54)="", "", IF(VLOOKUP(J54,'Footnotes list'!$D$9:$E$58,2,FALSE)=0,"",VLOOKUP(J54,'Footnotes list'!$D$9:$E$58,2,FALSE) ) )</f>
        <v/>
      </c>
      <c r="L54" s="378"/>
      <c r="M54" s="379"/>
      <c r="N54" s="380"/>
      <c r="O54" s="381"/>
      <c r="P54" s="377" t="str">
        <f>IF(TRIM(O54)="", "", IF(VLOOKUP(O54,'Footnotes list'!$D$9:$E$58,2,FALSE)=0,"",VLOOKUP(O54,'Footnotes list'!$D$9:$E$58,2,FALSE) ) )</f>
        <v/>
      </c>
      <c r="Q54" s="378"/>
      <c r="R54" s="379"/>
      <c r="S54" s="380"/>
      <c r="T54" s="381"/>
      <c r="U54" s="377" t="str">
        <f>IF(TRIM(T54)="", "", IF(VLOOKUP(T54,'Footnotes list'!$D$9:$E$58,2,FALSE)=0,"",VLOOKUP(T54,'Footnotes list'!$D$9:$E$58,2,FALSE) ) )</f>
        <v/>
      </c>
      <c r="V54" s="378"/>
      <c r="W54" s="379"/>
      <c r="X54" s="380"/>
      <c r="Y54" s="381"/>
      <c r="Z54" s="377" t="str">
        <f>IF(TRIM(Y54)="", "", IF(VLOOKUP(Y54,'Footnotes list'!$D$9:$E$58,2,FALSE)=0,"",VLOOKUP(Y54,'Footnotes list'!$D$9:$E$58,2,FALSE) ) )</f>
        <v/>
      </c>
      <c r="AA54" s="129" t="str">
        <f>IF(AND(TRIM(Q54)="",TRIM(V54)=""),"",Q54+V54)</f>
        <v/>
      </c>
      <c r="AB54" s="379"/>
      <c r="AC54" s="380"/>
      <c r="AD54" s="381"/>
      <c r="AE54" s="377" t="str">
        <f>IF(TRIM(AD54)="", "", IF(VLOOKUP(AD54,'Footnotes list'!$D$9:$E$58,2,FALSE)=0,"",VLOOKUP(AD54,'Footnotes list'!$D$9:$E$58,2,FALSE) ) )</f>
        <v/>
      </c>
      <c r="AF54" s="378"/>
      <c r="AG54" s="379"/>
      <c r="AH54" s="380"/>
      <c r="AI54" s="381"/>
      <c r="AJ54" s="377" t="str">
        <f>IF(TRIM(AI54)="", "", IF(VLOOKUP(AI54,'Footnotes list'!$D$9:$E$58,2,FALSE)=0,"",VLOOKUP(AI54,'Footnotes list'!$D$9:$E$58,2,FALSE) ) )</f>
        <v/>
      </c>
      <c r="AK54" s="378"/>
      <c r="AL54" s="379"/>
      <c r="AM54" s="380"/>
      <c r="AN54" s="381"/>
      <c r="AO54" s="377" t="str">
        <f>IF(TRIM(AN54)="", "", IF(VLOOKUP(AN54,'Footnotes list'!$D$9:$E$58,2,FALSE)=0,"",VLOOKUP(AN54,'Footnotes list'!$D$9:$E$58,2,FALSE) ) )</f>
        <v/>
      </c>
      <c r="AP54" s="129" t="str">
        <f>IF(AND(TRIM(AF54)="",TRIM(AK54)=""),"",AF54+AK54)</f>
        <v/>
      </c>
      <c r="AQ54" s="379"/>
      <c r="AR54" s="380"/>
      <c r="AS54" s="381"/>
      <c r="AT54" s="377" t="str">
        <f>IF(TRIM(AS54)="", "", IF(VLOOKUP(AS54,'Footnotes list'!$D$9:$E$58,2,FALSE)=0,"",VLOOKUP(AS54,'Footnotes list'!$D$9:$E$58,2,FALSE) ) )</f>
        <v/>
      </c>
      <c r="AU54" s="403" t="str">
        <f>IF(AND(TRIM(G54)="",TRIM(L54)="",TRIM(AA54)="",TRIM(AP54)=""),"",SUM(G54,L54,AA54,AP54))</f>
        <v/>
      </c>
      <c r="AV54" s="379"/>
      <c r="AW54" s="380"/>
      <c r="AX54" s="381"/>
      <c r="AY54" s="377" t="str">
        <f>IF(TRIM(AX54)="", "", IF(VLOOKUP(AX54,'Footnotes list'!$D$9:$E$58,2,FALSE)=0,"",VLOOKUP(AX54,'Footnotes list'!$D$9:$E$58,2,FALSE) ) )</f>
        <v/>
      </c>
    </row>
    <row r="55" spans="2:51" ht="15" customHeight="1" thickBot="1" x14ac:dyDescent="0.4">
      <c r="B55" s="536"/>
      <c r="C55" s="53" t="s">
        <v>125</v>
      </c>
      <c r="D55" s="530"/>
      <c r="E55" s="47" t="s">
        <v>146</v>
      </c>
      <c r="F55" s="54" t="s">
        <v>234</v>
      </c>
      <c r="G55" s="126" t="str">
        <f>IF(AND(TRIM(G53)="",TRIM(G54)=""),"",G53+G54)</f>
        <v/>
      </c>
      <c r="H55" s="379"/>
      <c r="I55" s="380"/>
      <c r="J55" s="381"/>
      <c r="K55" s="377" t="str">
        <f>IF(TRIM(J55)="", "", IF(VLOOKUP(J55,'Footnotes list'!$D$9:$E$58,2,FALSE)=0,"",VLOOKUP(J55,'Footnotes list'!$D$9:$E$58,2,FALSE) ) )</f>
        <v/>
      </c>
      <c r="L55" s="126" t="str">
        <f>IF(AND(TRIM(L53)="",TRIM(L54)=""),"",L53+L54)</f>
        <v/>
      </c>
      <c r="M55" s="379"/>
      <c r="N55" s="380"/>
      <c r="O55" s="381"/>
      <c r="P55" s="377" t="str">
        <f>IF(TRIM(O55)="", "", IF(VLOOKUP(O55,'Footnotes list'!$D$9:$E$58,2,FALSE)=0,"",VLOOKUP(O55,'Footnotes list'!$D$9:$E$58,2,FALSE) ) )</f>
        <v/>
      </c>
      <c r="Q55" s="126" t="str">
        <f>IF(AND(TRIM(Q53)="",TRIM(Q54)=""),"",Q53+Q54)</f>
        <v/>
      </c>
      <c r="R55" s="379"/>
      <c r="S55" s="380"/>
      <c r="T55" s="381"/>
      <c r="U55" s="377" t="str">
        <f>IF(TRIM(T55)="", "", IF(VLOOKUP(T55,'Footnotes list'!$D$9:$E$58,2,FALSE)=0,"",VLOOKUP(T55,'Footnotes list'!$D$9:$E$58,2,FALSE) ) )</f>
        <v/>
      </c>
      <c r="V55" s="126" t="str">
        <f>IF(AND(TRIM(V53)="",TRIM(V54)=""),"",V53+V54)</f>
        <v/>
      </c>
      <c r="W55" s="379"/>
      <c r="X55" s="380"/>
      <c r="Y55" s="381"/>
      <c r="Z55" s="377" t="str">
        <f>IF(TRIM(Y55)="", "", IF(VLOOKUP(Y55,'Footnotes list'!$D$9:$E$58,2,FALSE)=0,"",VLOOKUP(Y55,'Footnotes list'!$D$9:$E$58,2,FALSE) ) )</f>
        <v/>
      </c>
      <c r="AA55" s="126" t="str">
        <f>IF(AND(TRIM(AA53)="", TRIM(AA54)=""), "", SUM(AA53,AA54))</f>
        <v/>
      </c>
      <c r="AB55" s="379"/>
      <c r="AC55" s="380"/>
      <c r="AD55" s="381"/>
      <c r="AE55" s="377" t="str">
        <f>IF(TRIM(AD55)="", "", IF(VLOOKUP(AD55,'Footnotes list'!$D$9:$E$58,2,FALSE)=0,"",VLOOKUP(AD55,'Footnotes list'!$D$9:$E$58,2,FALSE) ) )</f>
        <v/>
      </c>
      <c r="AF55" s="126" t="str">
        <f>IF(AND(TRIM(AF53)="",TRIM(AF54)=""),"",AF53+AF54)</f>
        <v/>
      </c>
      <c r="AG55" s="379"/>
      <c r="AH55" s="380"/>
      <c r="AI55" s="381"/>
      <c r="AJ55" s="377" t="str">
        <f>IF(TRIM(AI55)="", "", IF(VLOOKUP(AI55,'Footnotes list'!$D$9:$E$58,2,FALSE)=0,"",VLOOKUP(AI55,'Footnotes list'!$D$9:$E$58,2,FALSE) ) )</f>
        <v/>
      </c>
      <c r="AK55" s="126" t="str">
        <f>IF(AND(TRIM(AK53)="",TRIM(AK54)=""),"",AK53+AK54)</f>
        <v/>
      </c>
      <c r="AL55" s="379"/>
      <c r="AM55" s="380"/>
      <c r="AN55" s="381"/>
      <c r="AO55" s="377" t="str">
        <f>IF(TRIM(AN55)="", "", IF(VLOOKUP(AN55,'Footnotes list'!$D$9:$E$58,2,FALSE)=0,"",VLOOKUP(AN55,'Footnotes list'!$D$9:$E$58,2,FALSE) ) )</f>
        <v/>
      </c>
      <c r="AP55" s="126" t="str">
        <f>IF(AND(TRIM(AP53)="", TRIM(AP54)=""), "", SUM(AP53,AP54))</f>
        <v/>
      </c>
      <c r="AQ55" s="379"/>
      <c r="AR55" s="380"/>
      <c r="AS55" s="381"/>
      <c r="AT55" s="377" t="str">
        <f>IF(TRIM(AS55)="", "", IF(VLOOKUP(AS55,'Footnotes list'!$D$9:$E$58,2,FALSE)=0,"",VLOOKUP(AS55,'Footnotes list'!$D$9:$E$58,2,FALSE) ) )</f>
        <v/>
      </c>
      <c r="AU55" s="126" t="str">
        <f>IF(AND(TRIM(AU53)="", TRIM(AU54)=""), "", SUM(AU53,AU54) )</f>
        <v/>
      </c>
      <c r="AV55" s="379"/>
      <c r="AW55" s="380"/>
      <c r="AX55" s="381"/>
      <c r="AY55" s="377" t="str">
        <f>IF(TRIM(AX55)="", "", IF(VLOOKUP(AX55,'Footnotes list'!$D$9:$E$58,2,FALSE)=0,"",VLOOKUP(AX55,'Footnotes list'!$D$9:$E$58,2,FALSE) ) )</f>
        <v/>
      </c>
    </row>
    <row r="56" spans="2:51" ht="15" customHeight="1" x14ac:dyDescent="0.35">
      <c r="B56" s="534" t="s">
        <v>126</v>
      </c>
      <c r="C56" s="41" t="s">
        <v>126</v>
      </c>
      <c r="D56" s="528" t="s">
        <v>92</v>
      </c>
      <c r="E56" s="42" t="s">
        <v>144</v>
      </c>
      <c r="F56" s="43" t="s">
        <v>151</v>
      </c>
      <c r="G56" s="372"/>
      <c r="H56" s="373"/>
      <c r="I56" s="374"/>
      <c r="J56" s="375"/>
      <c r="K56" s="376" t="str">
        <f>IF(TRIM(J56)="", "", IF(VLOOKUP(J56,'Footnotes list'!$D$9:$E$58,2,FALSE)=0,"",VLOOKUP(J56,'Footnotes list'!$D$9:$E$58,2,FALSE) ) )</f>
        <v/>
      </c>
      <c r="L56" s="372"/>
      <c r="M56" s="373"/>
      <c r="N56" s="374"/>
      <c r="O56" s="375"/>
      <c r="P56" s="376" t="str">
        <f>IF(TRIM(O56)="", "", IF(VLOOKUP(O56,'Footnotes list'!$D$9:$E$58,2,FALSE)=0,"",VLOOKUP(O56,'Footnotes list'!$D$9:$E$58,2,FALSE) ) )</f>
        <v/>
      </c>
      <c r="Q56" s="372"/>
      <c r="R56" s="373"/>
      <c r="S56" s="374"/>
      <c r="T56" s="375"/>
      <c r="U56" s="376" t="str">
        <f>IF(TRIM(T56)="", "", IF(VLOOKUP(T56,'Footnotes list'!$D$9:$E$58,2,FALSE)=0,"",VLOOKUP(T56,'Footnotes list'!$D$9:$E$58,2,FALSE) ) )</f>
        <v/>
      </c>
      <c r="V56" s="372"/>
      <c r="W56" s="373"/>
      <c r="X56" s="374"/>
      <c r="Y56" s="375"/>
      <c r="Z56" s="376" t="str">
        <f>IF(TRIM(Y56)="", "", IF(VLOOKUP(Y56,'Footnotes list'!$D$9:$E$58,2,FALSE)=0,"",VLOOKUP(Y56,'Footnotes list'!$D$9:$E$58,2,FALSE) ) )</f>
        <v/>
      </c>
      <c r="AA56" s="128" t="str">
        <f>IF(AND(TRIM(Q56)="",TRIM(V56)=""),"",Q56+V56)</f>
        <v/>
      </c>
      <c r="AB56" s="373"/>
      <c r="AC56" s="374"/>
      <c r="AD56" s="375"/>
      <c r="AE56" s="376" t="str">
        <f>IF(TRIM(AD56)="", "", IF(VLOOKUP(AD56,'Footnotes list'!$D$9:$E$58,2,FALSE)=0,"",VLOOKUP(AD56,'Footnotes list'!$D$9:$E$58,2,FALSE) ) )</f>
        <v/>
      </c>
      <c r="AF56" s="372"/>
      <c r="AG56" s="373"/>
      <c r="AH56" s="374"/>
      <c r="AI56" s="375"/>
      <c r="AJ56" s="376" t="str">
        <f>IF(TRIM(AI56)="", "", IF(VLOOKUP(AI56,'Footnotes list'!$D$9:$E$58,2,FALSE)=0,"",VLOOKUP(AI56,'Footnotes list'!$D$9:$E$58,2,FALSE) ) )</f>
        <v/>
      </c>
      <c r="AK56" s="372"/>
      <c r="AL56" s="373"/>
      <c r="AM56" s="374"/>
      <c r="AN56" s="375"/>
      <c r="AO56" s="376" t="str">
        <f>IF(TRIM(AN56)="", "", IF(VLOOKUP(AN56,'Footnotes list'!$D$9:$E$58,2,FALSE)=0,"",VLOOKUP(AN56,'Footnotes list'!$D$9:$E$58,2,FALSE) ) )</f>
        <v/>
      </c>
      <c r="AP56" s="128" t="str">
        <f>IF(AND(TRIM(AF56)="",TRIM(AK56)=""),"",AF56+AK56)</f>
        <v/>
      </c>
      <c r="AQ56" s="373"/>
      <c r="AR56" s="374"/>
      <c r="AS56" s="375"/>
      <c r="AT56" s="376" t="str">
        <f>IF(TRIM(AS56)="", "", IF(VLOOKUP(AS56,'Footnotes list'!$D$9:$E$58,2,FALSE)=0,"",VLOOKUP(AS56,'Footnotes list'!$D$9:$E$58,2,FALSE) ) )</f>
        <v/>
      </c>
      <c r="AU56" s="382" t="str">
        <f>IF(AND(TRIM(G56)="",TRIM(L56)="",TRIM(AA56)="",TRIM(AP56)=""),"",SUM(G56,L56,AA56,AP56))</f>
        <v/>
      </c>
      <c r="AV56" s="373"/>
      <c r="AW56" s="374"/>
      <c r="AX56" s="375"/>
      <c r="AY56" s="376" t="str">
        <f>IF(TRIM(AX56)="", "", IF(VLOOKUP(AX56,'Footnotes list'!$D$9:$E$58,2,FALSE)=0,"",VLOOKUP(AX56,'Footnotes list'!$D$9:$E$58,2,FALSE) ) )</f>
        <v/>
      </c>
    </row>
    <row r="57" spans="2:51" ht="15" customHeight="1" thickBot="1" x14ac:dyDescent="0.4">
      <c r="B57" s="535"/>
      <c r="C57" s="44"/>
      <c r="D57" s="529"/>
      <c r="E57" s="44"/>
      <c r="F57" s="45" t="s">
        <v>233</v>
      </c>
      <c r="G57" s="383"/>
      <c r="H57" s="384"/>
      <c r="I57" s="384"/>
      <c r="J57" s="384"/>
      <c r="K57" s="385"/>
      <c r="L57" s="383"/>
      <c r="M57" s="384"/>
      <c r="N57" s="384"/>
      <c r="O57" s="384"/>
      <c r="P57" s="385"/>
      <c r="Q57" s="383"/>
      <c r="R57" s="384"/>
      <c r="S57" s="384"/>
      <c r="T57" s="384"/>
      <c r="U57" s="385"/>
      <c r="V57" s="383"/>
      <c r="W57" s="384"/>
      <c r="X57" s="384"/>
      <c r="Y57" s="384"/>
      <c r="Z57" s="385"/>
      <c r="AA57" s="383"/>
      <c r="AB57" s="384"/>
      <c r="AC57" s="384"/>
      <c r="AD57" s="384"/>
      <c r="AE57" s="385"/>
      <c r="AF57" s="383"/>
      <c r="AG57" s="384"/>
      <c r="AH57" s="384"/>
      <c r="AI57" s="384"/>
      <c r="AJ57" s="385"/>
      <c r="AK57" s="383"/>
      <c r="AL57" s="384"/>
      <c r="AM57" s="384"/>
      <c r="AN57" s="384"/>
      <c r="AO57" s="385"/>
      <c r="AP57" s="383"/>
      <c r="AQ57" s="384"/>
      <c r="AR57" s="384"/>
      <c r="AS57" s="384"/>
      <c r="AT57" s="385"/>
      <c r="AU57" s="383"/>
      <c r="AV57" s="384"/>
      <c r="AW57" s="384"/>
      <c r="AX57" s="384"/>
      <c r="AY57" s="385"/>
    </row>
    <row r="58" spans="2:51" ht="15" customHeight="1" thickBot="1" x14ac:dyDescent="0.4">
      <c r="B58" s="536"/>
      <c r="C58" s="53" t="s">
        <v>126</v>
      </c>
      <c r="D58" s="530"/>
      <c r="E58" s="47" t="s">
        <v>146</v>
      </c>
      <c r="F58" s="54" t="s">
        <v>234</v>
      </c>
      <c r="G58" s="126" t="str">
        <f>IF(AND(TRIM(G56)="",TRIM(G57)=""),"",G56+G57)</f>
        <v/>
      </c>
      <c r="H58" s="373"/>
      <c r="I58" s="374"/>
      <c r="J58" s="375"/>
      <c r="K58" s="376" t="str">
        <f>IF(TRIM(J58)="", "", IF(VLOOKUP(J58,'Footnotes list'!$D$9:$E$58,2,FALSE)=0,"",VLOOKUP(J58,'Footnotes list'!$D$9:$E$58,2,FALSE) ) )</f>
        <v/>
      </c>
      <c r="L58" s="126" t="str">
        <f>IF(AND(TRIM(L56)="",TRIM(L57)=""),"",L56+L57)</f>
        <v/>
      </c>
      <c r="M58" s="373"/>
      <c r="N58" s="374"/>
      <c r="O58" s="375"/>
      <c r="P58" s="376" t="str">
        <f>IF(TRIM(O58)="", "", IF(VLOOKUP(O58,'Footnotes list'!$D$9:$E$58,2,FALSE)=0,"",VLOOKUP(O58,'Footnotes list'!$D$9:$E$58,2,FALSE) ) )</f>
        <v/>
      </c>
      <c r="Q58" s="126" t="str">
        <f>IF(AND(TRIM(Q56)="",TRIM(Q57)=""),"",Q56+Q57)</f>
        <v/>
      </c>
      <c r="R58" s="373"/>
      <c r="S58" s="374"/>
      <c r="T58" s="375"/>
      <c r="U58" s="376" t="str">
        <f>IF(TRIM(T58)="", "", IF(VLOOKUP(T58,'Footnotes list'!$D$9:$E$58,2,FALSE)=0,"",VLOOKUP(T58,'Footnotes list'!$D$9:$E$58,2,FALSE) ) )</f>
        <v/>
      </c>
      <c r="V58" s="126" t="str">
        <f>IF(AND(TRIM(V56)="",TRIM(V57)=""),"",V56+V57)</f>
        <v/>
      </c>
      <c r="W58" s="373"/>
      <c r="X58" s="374"/>
      <c r="Y58" s="375"/>
      <c r="Z58" s="376" t="str">
        <f>IF(TRIM(Y58)="", "", IF(VLOOKUP(Y58,'Footnotes list'!$D$9:$E$58,2,FALSE)=0,"",VLOOKUP(Y58,'Footnotes list'!$D$9:$E$58,2,FALSE) ) )</f>
        <v/>
      </c>
      <c r="AA58" s="127" t="str">
        <f>IF(AND(TRIM(AA56)="", TRIM(AA57)=""), "", SUM(AA56,AA57))</f>
        <v/>
      </c>
      <c r="AB58" s="373"/>
      <c r="AC58" s="374"/>
      <c r="AD58" s="375"/>
      <c r="AE58" s="376" t="str">
        <f>IF(TRIM(AD58)="", "", IF(VLOOKUP(AD58,'Footnotes list'!$D$9:$E$58,2,FALSE)=0,"",VLOOKUP(AD58,'Footnotes list'!$D$9:$E$58,2,FALSE) ) )</f>
        <v/>
      </c>
      <c r="AF58" s="126" t="str">
        <f>IF(AND(TRIM(AF56)="",TRIM(AF57)=""),"",AF56+AF57)</f>
        <v/>
      </c>
      <c r="AG58" s="373"/>
      <c r="AH58" s="374"/>
      <c r="AI58" s="375"/>
      <c r="AJ58" s="376" t="str">
        <f>IF(TRIM(AI58)="", "", IF(VLOOKUP(AI58,'Footnotes list'!$D$9:$E$58,2,FALSE)=0,"",VLOOKUP(AI58,'Footnotes list'!$D$9:$E$58,2,FALSE) ) )</f>
        <v/>
      </c>
      <c r="AK58" s="126" t="str">
        <f>IF(AND(TRIM(AK56)="",TRIM(AK57)=""),"",AK56+AK57)</f>
        <v/>
      </c>
      <c r="AL58" s="373"/>
      <c r="AM58" s="374"/>
      <c r="AN58" s="375"/>
      <c r="AO58" s="376" t="str">
        <f>IF(TRIM(AN58)="", "", IF(VLOOKUP(AN58,'Footnotes list'!$D$9:$E$58,2,FALSE)=0,"",VLOOKUP(AN58,'Footnotes list'!$D$9:$E$58,2,FALSE) ) )</f>
        <v/>
      </c>
      <c r="AP58" s="127" t="str">
        <f>IF(AND(TRIM(AP56)="", TRIM(AP57)=""), "", SUM(AP56,AP57))</f>
        <v/>
      </c>
      <c r="AQ58" s="373"/>
      <c r="AR58" s="374"/>
      <c r="AS58" s="375"/>
      <c r="AT58" s="376" t="str">
        <f>IF(TRIM(AS58)="", "", IF(VLOOKUP(AS58,'Footnotes list'!$D$9:$E$58,2,FALSE)=0,"",VLOOKUP(AS58,'Footnotes list'!$D$9:$E$58,2,FALSE) ) )</f>
        <v/>
      </c>
      <c r="AU58" s="126" t="str">
        <f>IF(AND(TRIM(AU56)="", TRIM(AU57)=""), "", SUM(AU56,AU57) )</f>
        <v/>
      </c>
      <c r="AV58" s="373"/>
      <c r="AW58" s="374"/>
      <c r="AX58" s="375"/>
      <c r="AY58" s="376" t="str">
        <f>IF(TRIM(AX58)="", "", IF(VLOOKUP(AX58,'Footnotes list'!$D$9:$E$58,2,FALSE)=0,"",VLOOKUP(AX58,'Footnotes list'!$D$9:$E$58,2,FALSE) ) )</f>
        <v/>
      </c>
    </row>
    <row r="59" spans="2:51" ht="15" customHeight="1" x14ac:dyDescent="0.35">
      <c r="B59" s="534" t="s">
        <v>127</v>
      </c>
      <c r="C59" s="41" t="s">
        <v>127</v>
      </c>
      <c r="D59" s="528" t="s">
        <v>159</v>
      </c>
      <c r="E59" s="42" t="s">
        <v>144</v>
      </c>
      <c r="F59" s="43" t="s">
        <v>151</v>
      </c>
      <c r="G59" s="372"/>
      <c r="H59" s="373"/>
      <c r="I59" s="374"/>
      <c r="J59" s="375"/>
      <c r="K59" s="376" t="str">
        <f>IF(TRIM(J59)="", "", IF(VLOOKUP(J59,'Footnotes list'!$D$9:$E$58,2,FALSE)=0,"",VLOOKUP(J59,'Footnotes list'!$D$9:$E$58,2,FALSE) ) )</f>
        <v/>
      </c>
      <c r="L59" s="372"/>
      <c r="M59" s="373"/>
      <c r="N59" s="374"/>
      <c r="O59" s="375"/>
      <c r="P59" s="376" t="str">
        <f>IF(TRIM(O59)="", "", IF(VLOOKUP(O59,'Footnotes list'!$D$9:$E$58,2,FALSE)=0,"",VLOOKUP(O59,'Footnotes list'!$D$9:$E$58,2,FALSE) ) )</f>
        <v/>
      </c>
      <c r="Q59" s="372"/>
      <c r="R59" s="373"/>
      <c r="S59" s="374"/>
      <c r="T59" s="375"/>
      <c r="U59" s="376" t="str">
        <f>IF(TRIM(T59)="", "", IF(VLOOKUP(T59,'Footnotes list'!$D$9:$E$58,2,FALSE)=0,"",VLOOKUP(T59,'Footnotes list'!$D$9:$E$58,2,FALSE) ) )</f>
        <v/>
      </c>
      <c r="V59" s="372"/>
      <c r="W59" s="373"/>
      <c r="X59" s="374"/>
      <c r="Y59" s="375"/>
      <c r="Z59" s="376" t="str">
        <f>IF(TRIM(Y59)="", "", IF(VLOOKUP(Y59,'Footnotes list'!$D$9:$E$58,2,FALSE)=0,"",VLOOKUP(Y59,'Footnotes list'!$D$9:$E$58,2,FALSE) ) )</f>
        <v/>
      </c>
      <c r="AA59" s="382" t="str">
        <f>IF(AND(TRIM(Q59)="",TRIM(V59)=""),"",Q59+V59)</f>
        <v/>
      </c>
      <c r="AB59" s="373"/>
      <c r="AC59" s="374"/>
      <c r="AD59" s="375"/>
      <c r="AE59" s="376" t="str">
        <f>IF(TRIM(AD59)="", "", IF(VLOOKUP(AD59,'Footnotes list'!$D$9:$E$58,2,FALSE)=0,"",VLOOKUP(AD59,'Footnotes list'!$D$9:$E$58,2,FALSE) ) )</f>
        <v/>
      </c>
      <c r="AF59" s="372"/>
      <c r="AG59" s="373"/>
      <c r="AH59" s="374"/>
      <c r="AI59" s="375"/>
      <c r="AJ59" s="376" t="str">
        <f>IF(TRIM(AI59)="", "", IF(VLOOKUP(AI59,'Footnotes list'!$D$9:$E$58,2,FALSE)=0,"",VLOOKUP(AI59,'Footnotes list'!$D$9:$E$58,2,FALSE) ) )</f>
        <v/>
      </c>
      <c r="AK59" s="372"/>
      <c r="AL59" s="373"/>
      <c r="AM59" s="374"/>
      <c r="AN59" s="375"/>
      <c r="AO59" s="376" t="str">
        <f>IF(TRIM(AN59)="", "", IF(VLOOKUP(AN59,'Footnotes list'!$D$9:$E$58,2,FALSE)=0,"",VLOOKUP(AN59,'Footnotes list'!$D$9:$E$58,2,FALSE) ) )</f>
        <v/>
      </c>
      <c r="AP59" s="382" t="str">
        <f>IF(AND(TRIM(AF59)="",TRIM(AK59)=""),"",AF59+AK59)</f>
        <v/>
      </c>
      <c r="AQ59" s="373"/>
      <c r="AR59" s="374"/>
      <c r="AS59" s="375"/>
      <c r="AT59" s="376" t="str">
        <f>IF(TRIM(AS59)="", "", IF(VLOOKUP(AS59,'Footnotes list'!$D$9:$E$58,2,FALSE)=0,"",VLOOKUP(AS59,'Footnotes list'!$D$9:$E$58,2,FALSE) ) )</f>
        <v/>
      </c>
      <c r="AU59" s="382" t="str">
        <f>IF(AND(TRIM(G59)="",TRIM(L59)="",TRIM(AA59)="",TRIM(AP59)=""),"",SUM(G59,L59,AA59,AP59))</f>
        <v/>
      </c>
      <c r="AV59" s="373"/>
      <c r="AW59" s="374"/>
      <c r="AX59" s="375"/>
      <c r="AY59" s="376" t="str">
        <f>IF(TRIM(AX59)="", "", IF(VLOOKUP(AX59,'Footnotes list'!$D$9:$E$58,2,FALSE)=0,"",VLOOKUP(AX59,'Footnotes list'!$D$9:$E$58,2,FALSE) ) )</f>
        <v/>
      </c>
    </row>
    <row r="60" spans="2:51" ht="15" customHeight="1" x14ac:dyDescent="0.35">
      <c r="B60" s="535"/>
      <c r="C60" s="50" t="s">
        <v>127</v>
      </c>
      <c r="D60" s="529"/>
      <c r="E60" s="51" t="s">
        <v>145</v>
      </c>
      <c r="F60" s="52" t="s">
        <v>152</v>
      </c>
      <c r="G60" s="378"/>
      <c r="H60" s="379"/>
      <c r="I60" s="380"/>
      <c r="J60" s="381"/>
      <c r="K60" s="377" t="str">
        <f>IF(TRIM(J60)="", "", IF(VLOOKUP(J60,'Footnotes list'!$D$9:$E$58,2,FALSE)=0,"",VLOOKUP(J60,'Footnotes list'!$D$9:$E$58,2,FALSE) ) )</f>
        <v/>
      </c>
      <c r="L60" s="378"/>
      <c r="M60" s="379"/>
      <c r="N60" s="380"/>
      <c r="O60" s="381"/>
      <c r="P60" s="377" t="str">
        <f>IF(TRIM(O60)="", "", IF(VLOOKUP(O60,'Footnotes list'!$D$9:$E$58,2,FALSE)=0,"",VLOOKUP(O60,'Footnotes list'!$D$9:$E$58,2,FALSE) ) )</f>
        <v/>
      </c>
      <c r="Q60" s="378"/>
      <c r="R60" s="379"/>
      <c r="S60" s="380"/>
      <c r="T60" s="381"/>
      <c r="U60" s="377" t="str">
        <f>IF(TRIM(T60)="", "", IF(VLOOKUP(T60,'Footnotes list'!$D$9:$E$58,2,FALSE)=0,"",VLOOKUP(T60,'Footnotes list'!$D$9:$E$58,2,FALSE) ) )</f>
        <v/>
      </c>
      <c r="V60" s="378"/>
      <c r="W60" s="379"/>
      <c r="X60" s="380"/>
      <c r="Y60" s="381"/>
      <c r="Z60" s="377" t="str">
        <f>IF(TRIM(Y60)="", "", IF(VLOOKUP(Y60,'Footnotes list'!$D$9:$E$58,2,FALSE)=0,"",VLOOKUP(Y60,'Footnotes list'!$D$9:$E$58,2,FALSE) ) )</f>
        <v/>
      </c>
      <c r="AA60" s="129" t="str">
        <f>IF(AND(TRIM(Q60)="",TRIM(V60)=""),"",Q60+V60)</f>
        <v/>
      </c>
      <c r="AB60" s="379"/>
      <c r="AC60" s="380"/>
      <c r="AD60" s="381"/>
      <c r="AE60" s="377" t="str">
        <f>IF(TRIM(AD60)="", "", IF(VLOOKUP(AD60,'Footnotes list'!$D$9:$E$58,2,FALSE)=0,"",VLOOKUP(AD60,'Footnotes list'!$D$9:$E$58,2,FALSE) ) )</f>
        <v/>
      </c>
      <c r="AF60" s="378"/>
      <c r="AG60" s="379"/>
      <c r="AH60" s="380"/>
      <c r="AI60" s="381"/>
      <c r="AJ60" s="377" t="str">
        <f>IF(TRIM(AI60)="", "", IF(VLOOKUP(AI60,'Footnotes list'!$D$9:$E$58,2,FALSE)=0,"",VLOOKUP(AI60,'Footnotes list'!$D$9:$E$58,2,FALSE) ) )</f>
        <v/>
      </c>
      <c r="AK60" s="378"/>
      <c r="AL60" s="379"/>
      <c r="AM60" s="380"/>
      <c r="AN60" s="381"/>
      <c r="AO60" s="377" t="str">
        <f>IF(TRIM(AN60)="", "", IF(VLOOKUP(AN60,'Footnotes list'!$D$9:$E$58,2,FALSE)=0,"",VLOOKUP(AN60,'Footnotes list'!$D$9:$E$58,2,FALSE) ) )</f>
        <v/>
      </c>
      <c r="AP60" s="129" t="str">
        <f>IF(AND(TRIM(AF60)="",TRIM(AK60)=""),"",AF60+AK60)</f>
        <v/>
      </c>
      <c r="AQ60" s="379"/>
      <c r="AR60" s="380"/>
      <c r="AS60" s="381"/>
      <c r="AT60" s="377" t="str">
        <f>IF(TRIM(AS60)="", "", IF(VLOOKUP(AS60,'Footnotes list'!$D$9:$E$58,2,FALSE)=0,"",VLOOKUP(AS60,'Footnotes list'!$D$9:$E$58,2,FALSE) ) )</f>
        <v/>
      </c>
      <c r="AU60" s="403" t="str">
        <f>IF(AND(TRIM(G60)="",TRIM(L60)="",TRIM(AA60)="",TRIM(AP60)=""),"",SUM(G60,L60,AA60,AP60))</f>
        <v/>
      </c>
      <c r="AV60" s="379"/>
      <c r="AW60" s="380"/>
      <c r="AX60" s="381"/>
      <c r="AY60" s="377" t="str">
        <f>IF(TRIM(AX60)="", "", IF(VLOOKUP(AX60,'Footnotes list'!$D$9:$E$58,2,FALSE)=0,"",VLOOKUP(AX60,'Footnotes list'!$D$9:$E$58,2,FALSE) ) )</f>
        <v/>
      </c>
    </row>
    <row r="61" spans="2:51" ht="15" customHeight="1" thickBot="1" x14ac:dyDescent="0.4">
      <c r="B61" s="536"/>
      <c r="C61" s="53" t="s">
        <v>127</v>
      </c>
      <c r="D61" s="530"/>
      <c r="E61" s="47" t="s">
        <v>146</v>
      </c>
      <c r="F61" s="54" t="s">
        <v>234</v>
      </c>
      <c r="G61" s="126" t="str">
        <f>IF(AND(TRIM(G59)="",TRIM(G60)=""),"",G59+G60)</f>
        <v/>
      </c>
      <c r="H61" s="379"/>
      <c r="I61" s="380"/>
      <c r="J61" s="381"/>
      <c r="K61" s="377" t="str">
        <f>IF(TRIM(J61)="", "", IF(VLOOKUP(J61,'Footnotes list'!$D$9:$E$58,2,FALSE)=0,"",VLOOKUP(J61,'Footnotes list'!$D$9:$E$58,2,FALSE) ) )</f>
        <v/>
      </c>
      <c r="L61" s="126" t="str">
        <f>IF(AND(TRIM(L59)="",TRIM(L60)=""),"",L59+L60)</f>
        <v/>
      </c>
      <c r="M61" s="379"/>
      <c r="N61" s="380"/>
      <c r="O61" s="381"/>
      <c r="P61" s="377" t="str">
        <f>IF(TRIM(O61)="", "", IF(VLOOKUP(O61,'Footnotes list'!$D$9:$E$58,2,FALSE)=0,"",VLOOKUP(O61,'Footnotes list'!$D$9:$E$58,2,FALSE) ) )</f>
        <v/>
      </c>
      <c r="Q61" s="126" t="str">
        <f>IF(AND(TRIM(Q59)="",TRIM(Q60)=""),"",Q59+Q60)</f>
        <v/>
      </c>
      <c r="R61" s="379"/>
      <c r="S61" s="380"/>
      <c r="T61" s="381"/>
      <c r="U61" s="377" t="str">
        <f>IF(TRIM(T61)="", "", IF(VLOOKUP(T61,'Footnotes list'!$D$9:$E$58,2,FALSE)=0,"",VLOOKUP(T61,'Footnotes list'!$D$9:$E$58,2,FALSE) ) )</f>
        <v/>
      </c>
      <c r="V61" s="126" t="str">
        <f>IF(AND(TRIM(V59)="",TRIM(V60)=""),"",V59+V60)</f>
        <v/>
      </c>
      <c r="W61" s="379"/>
      <c r="X61" s="380"/>
      <c r="Y61" s="381"/>
      <c r="Z61" s="377" t="str">
        <f>IF(TRIM(Y61)="", "", IF(VLOOKUP(Y61,'Footnotes list'!$D$9:$E$58,2,FALSE)=0,"",VLOOKUP(Y61,'Footnotes list'!$D$9:$E$58,2,FALSE) ) )</f>
        <v/>
      </c>
      <c r="AA61" s="126" t="str">
        <f>IF(AND(TRIM(AA59)="", TRIM(AA60)=""), "", SUM(AA59,AA60))</f>
        <v/>
      </c>
      <c r="AB61" s="379"/>
      <c r="AC61" s="380"/>
      <c r="AD61" s="381"/>
      <c r="AE61" s="377" t="str">
        <f>IF(TRIM(AD61)="", "", IF(VLOOKUP(AD61,'Footnotes list'!$D$9:$E$58,2,FALSE)=0,"",VLOOKUP(AD61,'Footnotes list'!$D$9:$E$58,2,FALSE) ) )</f>
        <v/>
      </c>
      <c r="AF61" s="126" t="str">
        <f>IF(AND(TRIM(AF59)="",TRIM(AF60)=""),"",AF59+AF60)</f>
        <v/>
      </c>
      <c r="AG61" s="379"/>
      <c r="AH61" s="380"/>
      <c r="AI61" s="381"/>
      <c r="AJ61" s="377" t="str">
        <f>IF(TRIM(AI61)="", "", IF(VLOOKUP(AI61,'Footnotes list'!$D$9:$E$58,2,FALSE)=0,"",VLOOKUP(AI61,'Footnotes list'!$D$9:$E$58,2,FALSE) ) )</f>
        <v/>
      </c>
      <c r="AK61" s="126" t="str">
        <f>IF(AND(TRIM(AK59)="",TRIM(AK60)=""),"",AK59+AK60)</f>
        <v/>
      </c>
      <c r="AL61" s="379"/>
      <c r="AM61" s="380"/>
      <c r="AN61" s="381"/>
      <c r="AO61" s="377" t="str">
        <f>IF(TRIM(AN61)="", "", IF(VLOOKUP(AN61,'Footnotes list'!$D$9:$E$58,2,FALSE)=0,"",VLOOKUP(AN61,'Footnotes list'!$D$9:$E$58,2,FALSE) ) )</f>
        <v/>
      </c>
      <c r="AP61" s="126" t="str">
        <f>IF(AND(TRIM(AP59)="", TRIM(AP60)=""), "", SUM(AP59,AP60))</f>
        <v/>
      </c>
      <c r="AQ61" s="379"/>
      <c r="AR61" s="380"/>
      <c r="AS61" s="381"/>
      <c r="AT61" s="377" t="str">
        <f>IF(TRIM(AS61)="", "", IF(VLOOKUP(AS61,'Footnotes list'!$D$9:$E$58,2,FALSE)=0,"",VLOOKUP(AS61,'Footnotes list'!$D$9:$E$58,2,FALSE) ) )</f>
        <v/>
      </c>
      <c r="AU61" s="126" t="str">
        <f>IF(AND(TRIM(AU59)="", TRIM(AU60)=""), "", SUM(AU59,AU60) )</f>
        <v/>
      </c>
      <c r="AV61" s="379"/>
      <c r="AW61" s="380"/>
      <c r="AX61" s="381"/>
      <c r="AY61" s="377" t="str">
        <f>IF(TRIM(AX61)="", "", IF(VLOOKUP(AX61,'Footnotes list'!$D$9:$E$58,2,FALSE)=0,"",VLOOKUP(AX61,'Footnotes list'!$D$9:$E$58,2,FALSE) ) )</f>
        <v/>
      </c>
    </row>
    <row r="62" spans="2:51" ht="15" customHeight="1" x14ac:dyDescent="0.35">
      <c r="B62" s="534" t="s">
        <v>128</v>
      </c>
      <c r="C62" s="41" t="s">
        <v>128</v>
      </c>
      <c r="D62" s="528" t="s">
        <v>93</v>
      </c>
      <c r="E62" s="42" t="s">
        <v>144</v>
      </c>
      <c r="F62" s="43" t="s">
        <v>151</v>
      </c>
      <c r="G62" s="372"/>
      <c r="H62" s="373"/>
      <c r="I62" s="374"/>
      <c r="J62" s="375"/>
      <c r="K62" s="376" t="str">
        <f>IF(TRIM(J62)="", "", IF(VLOOKUP(J62,'Footnotes list'!$D$9:$E$58,2,FALSE)=0,"",VLOOKUP(J62,'Footnotes list'!$D$9:$E$58,2,FALSE) ) )</f>
        <v/>
      </c>
      <c r="L62" s="372"/>
      <c r="M62" s="373"/>
      <c r="N62" s="374"/>
      <c r="O62" s="375"/>
      <c r="P62" s="376" t="str">
        <f>IF(TRIM(O62)="", "", IF(VLOOKUP(O62,'Footnotes list'!$D$9:$E$58,2,FALSE)=0,"",VLOOKUP(O62,'Footnotes list'!$D$9:$E$58,2,FALSE) ) )</f>
        <v/>
      </c>
      <c r="Q62" s="372"/>
      <c r="R62" s="373"/>
      <c r="S62" s="374"/>
      <c r="T62" s="375"/>
      <c r="U62" s="376" t="str">
        <f>IF(TRIM(T62)="", "", IF(VLOOKUP(T62,'Footnotes list'!$D$9:$E$58,2,FALSE)=0,"",VLOOKUP(T62,'Footnotes list'!$D$9:$E$58,2,FALSE) ) )</f>
        <v/>
      </c>
      <c r="V62" s="372"/>
      <c r="W62" s="373"/>
      <c r="X62" s="374"/>
      <c r="Y62" s="375"/>
      <c r="Z62" s="376" t="str">
        <f>IF(TRIM(Y62)="", "", IF(VLOOKUP(Y62,'Footnotes list'!$D$9:$E$58,2,FALSE)=0,"",VLOOKUP(Y62,'Footnotes list'!$D$9:$E$58,2,FALSE) ) )</f>
        <v/>
      </c>
      <c r="AA62" s="382" t="str">
        <f>IF(AND(TRIM(Q62)="",TRIM(V62)=""),"",Q62+V62)</f>
        <v/>
      </c>
      <c r="AB62" s="373"/>
      <c r="AC62" s="374"/>
      <c r="AD62" s="375"/>
      <c r="AE62" s="376" t="str">
        <f>IF(TRIM(AD62)="", "", IF(VLOOKUP(AD62,'Footnotes list'!$D$9:$E$58,2,FALSE)=0,"",VLOOKUP(AD62,'Footnotes list'!$D$9:$E$58,2,FALSE) ) )</f>
        <v/>
      </c>
      <c r="AF62" s="372"/>
      <c r="AG62" s="373"/>
      <c r="AH62" s="374"/>
      <c r="AI62" s="375"/>
      <c r="AJ62" s="376" t="str">
        <f>IF(TRIM(AI62)="", "", IF(VLOOKUP(AI62,'Footnotes list'!$D$9:$E$58,2,FALSE)=0,"",VLOOKUP(AI62,'Footnotes list'!$D$9:$E$58,2,FALSE) ) )</f>
        <v/>
      </c>
      <c r="AK62" s="372"/>
      <c r="AL62" s="373"/>
      <c r="AM62" s="374"/>
      <c r="AN62" s="375"/>
      <c r="AO62" s="376" t="str">
        <f>IF(TRIM(AN62)="", "", IF(VLOOKUP(AN62,'Footnotes list'!$D$9:$E$58,2,FALSE)=0,"",VLOOKUP(AN62,'Footnotes list'!$D$9:$E$58,2,FALSE) ) )</f>
        <v/>
      </c>
      <c r="AP62" s="382" t="str">
        <f>IF(AND(TRIM(AF62)="",TRIM(AK62)=""),"",AF62+AK62)</f>
        <v/>
      </c>
      <c r="AQ62" s="373"/>
      <c r="AR62" s="374"/>
      <c r="AS62" s="375"/>
      <c r="AT62" s="376" t="str">
        <f>IF(TRIM(AS62)="", "", IF(VLOOKUP(AS62,'Footnotes list'!$D$9:$E$58,2,FALSE)=0,"",VLOOKUP(AS62,'Footnotes list'!$D$9:$E$58,2,FALSE) ) )</f>
        <v/>
      </c>
      <c r="AU62" s="382" t="str">
        <f>IF(AND(TRIM(G62)="",TRIM(L62)="",TRIM(AA62)="",TRIM(AP62)=""),"",SUM(G62,L62,AA62,AP62))</f>
        <v/>
      </c>
      <c r="AV62" s="373"/>
      <c r="AW62" s="374"/>
      <c r="AX62" s="375"/>
      <c r="AY62" s="376" t="str">
        <f>IF(TRIM(AX62)="", "", IF(VLOOKUP(AX62,'Footnotes list'!$D$9:$E$58,2,FALSE)=0,"",VLOOKUP(AX62,'Footnotes list'!$D$9:$E$58,2,FALSE) ) )</f>
        <v/>
      </c>
    </row>
    <row r="63" spans="2:51" ht="15" customHeight="1" x14ac:dyDescent="0.35">
      <c r="B63" s="535"/>
      <c r="C63" s="50" t="s">
        <v>128</v>
      </c>
      <c r="D63" s="529"/>
      <c r="E63" s="51" t="s">
        <v>145</v>
      </c>
      <c r="F63" s="52" t="s">
        <v>152</v>
      </c>
      <c r="G63" s="378"/>
      <c r="H63" s="379"/>
      <c r="I63" s="380"/>
      <c r="J63" s="381"/>
      <c r="K63" s="377" t="str">
        <f>IF(TRIM(J63)="", "", IF(VLOOKUP(J63,'Footnotes list'!$D$9:$E$58,2,FALSE)=0,"",VLOOKUP(J63,'Footnotes list'!$D$9:$E$58,2,FALSE) ) )</f>
        <v/>
      </c>
      <c r="L63" s="378"/>
      <c r="M63" s="379"/>
      <c r="N63" s="380"/>
      <c r="O63" s="381"/>
      <c r="P63" s="377" t="str">
        <f>IF(TRIM(O63)="", "", IF(VLOOKUP(O63,'Footnotes list'!$D$9:$E$58,2,FALSE)=0,"",VLOOKUP(O63,'Footnotes list'!$D$9:$E$58,2,FALSE) ) )</f>
        <v/>
      </c>
      <c r="Q63" s="378"/>
      <c r="R63" s="379"/>
      <c r="S63" s="380"/>
      <c r="T63" s="381"/>
      <c r="U63" s="377" t="str">
        <f>IF(TRIM(T63)="", "", IF(VLOOKUP(T63,'Footnotes list'!$D$9:$E$58,2,FALSE)=0,"",VLOOKUP(T63,'Footnotes list'!$D$9:$E$58,2,FALSE) ) )</f>
        <v/>
      </c>
      <c r="V63" s="378"/>
      <c r="W63" s="379"/>
      <c r="X63" s="380"/>
      <c r="Y63" s="381"/>
      <c r="Z63" s="377" t="str">
        <f>IF(TRIM(Y63)="", "", IF(VLOOKUP(Y63,'Footnotes list'!$D$9:$E$58,2,FALSE)=0,"",VLOOKUP(Y63,'Footnotes list'!$D$9:$E$58,2,FALSE) ) )</f>
        <v/>
      </c>
      <c r="AA63" s="129" t="str">
        <f>IF(AND(TRIM(Q63)="",TRIM(V63)=""),"",Q63+V63)</f>
        <v/>
      </c>
      <c r="AB63" s="379"/>
      <c r="AC63" s="380"/>
      <c r="AD63" s="381"/>
      <c r="AE63" s="377" t="str">
        <f>IF(TRIM(AD63)="", "", IF(VLOOKUP(AD63,'Footnotes list'!$D$9:$E$58,2,FALSE)=0,"",VLOOKUP(AD63,'Footnotes list'!$D$9:$E$58,2,FALSE) ) )</f>
        <v/>
      </c>
      <c r="AF63" s="378"/>
      <c r="AG63" s="379"/>
      <c r="AH63" s="380"/>
      <c r="AI63" s="381"/>
      <c r="AJ63" s="377" t="str">
        <f>IF(TRIM(AI63)="", "", IF(VLOOKUP(AI63,'Footnotes list'!$D$9:$E$58,2,FALSE)=0,"",VLOOKUP(AI63,'Footnotes list'!$D$9:$E$58,2,FALSE) ) )</f>
        <v/>
      </c>
      <c r="AK63" s="378"/>
      <c r="AL63" s="379"/>
      <c r="AM63" s="380"/>
      <c r="AN63" s="381"/>
      <c r="AO63" s="377" t="str">
        <f>IF(TRIM(AN63)="", "", IF(VLOOKUP(AN63,'Footnotes list'!$D$9:$E$58,2,FALSE)=0,"",VLOOKUP(AN63,'Footnotes list'!$D$9:$E$58,2,FALSE) ) )</f>
        <v/>
      </c>
      <c r="AP63" s="129" t="str">
        <f>IF(AND(TRIM(AF63)="",TRIM(AK63)=""),"",AF63+AK63)</f>
        <v/>
      </c>
      <c r="AQ63" s="379"/>
      <c r="AR63" s="380"/>
      <c r="AS63" s="381"/>
      <c r="AT63" s="377" t="str">
        <f>IF(TRIM(AS63)="", "", IF(VLOOKUP(AS63,'Footnotes list'!$D$9:$E$58,2,FALSE)=0,"",VLOOKUP(AS63,'Footnotes list'!$D$9:$E$58,2,FALSE) ) )</f>
        <v/>
      </c>
      <c r="AU63" s="403" t="str">
        <f>IF(AND(TRIM(G63)="",TRIM(L63)="",TRIM(AA63)="",TRIM(AP63)=""),"",SUM(G63,L63,AA63,AP63))</f>
        <v/>
      </c>
      <c r="AV63" s="379"/>
      <c r="AW63" s="380"/>
      <c r="AX63" s="381"/>
      <c r="AY63" s="377" t="str">
        <f>IF(TRIM(AX63)="", "", IF(VLOOKUP(AX63,'Footnotes list'!$D$9:$E$58,2,FALSE)=0,"",VLOOKUP(AX63,'Footnotes list'!$D$9:$E$58,2,FALSE) ) )</f>
        <v/>
      </c>
    </row>
    <row r="64" spans="2:51" ht="15" customHeight="1" thickBot="1" x14ac:dyDescent="0.4">
      <c r="B64" s="536"/>
      <c r="C64" s="53" t="s">
        <v>128</v>
      </c>
      <c r="D64" s="530"/>
      <c r="E64" s="47" t="s">
        <v>146</v>
      </c>
      <c r="F64" s="54" t="s">
        <v>234</v>
      </c>
      <c r="G64" s="126" t="str">
        <f>IF(AND(TRIM(G62)="",TRIM(G63)=""),"",G62+G63)</f>
        <v/>
      </c>
      <c r="H64" s="379"/>
      <c r="I64" s="380"/>
      <c r="J64" s="381"/>
      <c r="K64" s="377" t="str">
        <f>IF(TRIM(J64)="", "", IF(VLOOKUP(J64,'Footnotes list'!$D$9:$E$58,2,FALSE)=0,"",VLOOKUP(J64,'Footnotes list'!$D$9:$E$58,2,FALSE) ) )</f>
        <v/>
      </c>
      <c r="L64" s="126" t="str">
        <f>IF(AND(TRIM(L62)="",TRIM(L63)=""),"",L62+L63)</f>
        <v/>
      </c>
      <c r="M64" s="379"/>
      <c r="N64" s="380"/>
      <c r="O64" s="381"/>
      <c r="P64" s="377" t="str">
        <f>IF(TRIM(O64)="", "", IF(VLOOKUP(O64,'Footnotes list'!$D$9:$E$58,2,FALSE)=0,"",VLOOKUP(O64,'Footnotes list'!$D$9:$E$58,2,FALSE) ) )</f>
        <v/>
      </c>
      <c r="Q64" s="126" t="str">
        <f>IF(AND(TRIM(Q62)="",TRIM(Q63)=""),"",Q62+Q63)</f>
        <v/>
      </c>
      <c r="R64" s="379"/>
      <c r="S64" s="380"/>
      <c r="T64" s="381"/>
      <c r="U64" s="377" t="str">
        <f>IF(TRIM(T64)="", "", IF(VLOOKUP(T64,'Footnotes list'!$D$9:$E$58,2,FALSE)=0,"",VLOOKUP(T64,'Footnotes list'!$D$9:$E$58,2,FALSE) ) )</f>
        <v/>
      </c>
      <c r="V64" s="126" t="str">
        <f>IF(AND(TRIM(V62)="",TRIM(V63)=""),"",V62+V63)</f>
        <v/>
      </c>
      <c r="W64" s="379"/>
      <c r="X64" s="380"/>
      <c r="Y64" s="381"/>
      <c r="Z64" s="377" t="str">
        <f>IF(TRIM(Y64)="", "", IF(VLOOKUP(Y64,'Footnotes list'!$D$9:$E$58,2,FALSE)=0,"",VLOOKUP(Y64,'Footnotes list'!$D$9:$E$58,2,FALSE) ) )</f>
        <v/>
      </c>
      <c r="AA64" s="126" t="str">
        <f>IF(AND(TRIM(AA62)="", TRIM(AA63)=""), "", SUM(AA62,AA63))</f>
        <v/>
      </c>
      <c r="AB64" s="379"/>
      <c r="AC64" s="380"/>
      <c r="AD64" s="381"/>
      <c r="AE64" s="377" t="str">
        <f>IF(TRIM(AD64)="", "", IF(VLOOKUP(AD64,'Footnotes list'!$D$9:$E$58,2,FALSE)=0,"",VLOOKUP(AD64,'Footnotes list'!$D$9:$E$58,2,FALSE) ) )</f>
        <v/>
      </c>
      <c r="AF64" s="126" t="str">
        <f>IF(AND(TRIM(AF62)="",TRIM(AF63)=""),"",AF62+AF63)</f>
        <v/>
      </c>
      <c r="AG64" s="379"/>
      <c r="AH64" s="380"/>
      <c r="AI64" s="381"/>
      <c r="AJ64" s="377" t="str">
        <f>IF(TRIM(AI64)="", "", IF(VLOOKUP(AI64,'Footnotes list'!$D$9:$E$58,2,FALSE)=0,"",VLOOKUP(AI64,'Footnotes list'!$D$9:$E$58,2,FALSE) ) )</f>
        <v/>
      </c>
      <c r="AK64" s="126" t="str">
        <f>IF(AND(TRIM(AK62)="",TRIM(AK63)=""),"",AK62+AK63)</f>
        <v/>
      </c>
      <c r="AL64" s="379"/>
      <c r="AM64" s="380"/>
      <c r="AN64" s="381"/>
      <c r="AO64" s="377" t="str">
        <f>IF(TRIM(AN64)="", "", IF(VLOOKUP(AN64,'Footnotes list'!$D$9:$E$58,2,FALSE)=0,"",VLOOKUP(AN64,'Footnotes list'!$D$9:$E$58,2,FALSE) ) )</f>
        <v/>
      </c>
      <c r="AP64" s="126" t="str">
        <f>IF(AND(TRIM(AP62)="", TRIM(AP63)=""), "", SUM(AP62,AP63))</f>
        <v/>
      </c>
      <c r="AQ64" s="379"/>
      <c r="AR64" s="380"/>
      <c r="AS64" s="381"/>
      <c r="AT64" s="377" t="str">
        <f>IF(TRIM(AS64)="", "", IF(VLOOKUP(AS64,'Footnotes list'!$D$9:$E$58,2,FALSE)=0,"",VLOOKUP(AS64,'Footnotes list'!$D$9:$E$58,2,FALSE) ) )</f>
        <v/>
      </c>
      <c r="AU64" s="126" t="str">
        <f>IF(AND(TRIM(AU62)="", TRIM(AU63)=""), "", SUM(AU62,AU63) )</f>
        <v/>
      </c>
      <c r="AV64" s="379"/>
      <c r="AW64" s="380"/>
      <c r="AX64" s="381"/>
      <c r="AY64" s="377" t="str">
        <f>IF(TRIM(AX64)="", "", IF(VLOOKUP(AX64,'Footnotes list'!$D$9:$E$58,2,FALSE)=0,"",VLOOKUP(AX64,'Footnotes list'!$D$9:$E$58,2,FALSE) ) )</f>
        <v/>
      </c>
    </row>
    <row r="65" spans="2:51" ht="15" customHeight="1" x14ac:dyDescent="0.35">
      <c r="B65" s="534" t="s">
        <v>129</v>
      </c>
      <c r="C65" s="41" t="s">
        <v>129</v>
      </c>
      <c r="D65" s="528" t="s">
        <v>94</v>
      </c>
      <c r="E65" s="42" t="s">
        <v>144</v>
      </c>
      <c r="F65" s="43" t="s">
        <v>151</v>
      </c>
      <c r="G65" s="372"/>
      <c r="H65" s="373"/>
      <c r="I65" s="374"/>
      <c r="J65" s="375"/>
      <c r="K65" s="376" t="str">
        <f>IF(TRIM(J65)="", "", IF(VLOOKUP(J65,'Footnotes list'!$D$9:$E$58,2,FALSE)=0,"",VLOOKUP(J65,'Footnotes list'!$D$9:$E$58,2,FALSE) ) )</f>
        <v/>
      </c>
      <c r="L65" s="372"/>
      <c r="M65" s="373"/>
      <c r="N65" s="374"/>
      <c r="O65" s="375"/>
      <c r="P65" s="376" t="str">
        <f>IF(TRIM(O65)="", "", IF(VLOOKUP(O65,'Footnotes list'!$D$9:$E$58,2,FALSE)=0,"",VLOOKUP(O65,'Footnotes list'!$D$9:$E$58,2,FALSE) ) )</f>
        <v/>
      </c>
      <c r="Q65" s="372"/>
      <c r="R65" s="373"/>
      <c r="S65" s="374"/>
      <c r="T65" s="375"/>
      <c r="U65" s="376" t="str">
        <f>IF(TRIM(T65)="", "", IF(VLOOKUP(T65,'Footnotes list'!$D$9:$E$58,2,FALSE)=0,"",VLOOKUP(T65,'Footnotes list'!$D$9:$E$58,2,FALSE) ) )</f>
        <v/>
      </c>
      <c r="V65" s="372"/>
      <c r="W65" s="373"/>
      <c r="X65" s="374"/>
      <c r="Y65" s="375"/>
      <c r="Z65" s="376" t="str">
        <f>IF(TRIM(Y65)="", "", IF(VLOOKUP(Y65,'Footnotes list'!$D$9:$E$58,2,FALSE)=0,"",VLOOKUP(Y65,'Footnotes list'!$D$9:$E$58,2,FALSE) ) )</f>
        <v/>
      </c>
      <c r="AA65" s="382" t="str">
        <f>IF(AND(TRIM(Q65)="",TRIM(V65)=""),"",Q65+V65)</f>
        <v/>
      </c>
      <c r="AB65" s="373"/>
      <c r="AC65" s="374"/>
      <c r="AD65" s="375"/>
      <c r="AE65" s="376" t="str">
        <f>IF(TRIM(AD65)="", "", IF(VLOOKUP(AD65,'Footnotes list'!$D$9:$E$58,2,FALSE)=0,"",VLOOKUP(AD65,'Footnotes list'!$D$9:$E$58,2,FALSE) ) )</f>
        <v/>
      </c>
      <c r="AF65" s="372"/>
      <c r="AG65" s="373"/>
      <c r="AH65" s="374"/>
      <c r="AI65" s="375"/>
      <c r="AJ65" s="376" t="str">
        <f>IF(TRIM(AI65)="", "", IF(VLOOKUP(AI65,'Footnotes list'!$D$9:$E$58,2,FALSE)=0,"",VLOOKUP(AI65,'Footnotes list'!$D$9:$E$58,2,FALSE) ) )</f>
        <v/>
      </c>
      <c r="AK65" s="372"/>
      <c r="AL65" s="373"/>
      <c r="AM65" s="374"/>
      <c r="AN65" s="375"/>
      <c r="AO65" s="376" t="str">
        <f>IF(TRIM(AN65)="", "", IF(VLOOKUP(AN65,'Footnotes list'!$D$9:$E$58,2,FALSE)=0,"",VLOOKUP(AN65,'Footnotes list'!$D$9:$E$58,2,FALSE) ) )</f>
        <v/>
      </c>
      <c r="AP65" s="382" t="str">
        <f>IF(AND(TRIM(AF65)="",TRIM(AK65)=""),"",AF65+AK65)</f>
        <v/>
      </c>
      <c r="AQ65" s="373"/>
      <c r="AR65" s="374"/>
      <c r="AS65" s="375"/>
      <c r="AT65" s="376" t="str">
        <f>IF(TRIM(AS65)="", "", IF(VLOOKUP(AS65,'Footnotes list'!$D$9:$E$58,2,FALSE)=0,"",VLOOKUP(AS65,'Footnotes list'!$D$9:$E$58,2,FALSE) ) )</f>
        <v/>
      </c>
      <c r="AU65" s="382" t="str">
        <f>IF(AND(TRIM(G65)="",TRIM(L65)="",TRIM(AA65)="",TRIM(AP65)=""),"",SUM(G65,L65,AA65,AP65))</f>
        <v/>
      </c>
      <c r="AV65" s="373"/>
      <c r="AW65" s="374"/>
      <c r="AX65" s="375"/>
      <c r="AY65" s="376" t="str">
        <f>IF(TRIM(AX65)="", "", IF(VLOOKUP(AX65,'Footnotes list'!$D$9:$E$58,2,FALSE)=0,"",VLOOKUP(AX65,'Footnotes list'!$D$9:$E$58,2,FALSE) ) )</f>
        <v/>
      </c>
    </row>
    <row r="66" spans="2:51" ht="15" customHeight="1" x14ac:dyDescent="0.35">
      <c r="B66" s="535"/>
      <c r="C66" s="50" t="s">
        <v>129</v>
      </c>
      <c r="D66" s="529"/>
      <c r="E66" s="51" t="s">
        <v>145</v>
      </c>
      <c r="F66" s="52" t="s">
        <v>152</v>
      </c>
      <c r="G66" s="378"/>
      <c r="H66" s="379"/>
      <c r="I66" s="380"/>
      <c r="J66" s="381"/>
      <c r="K66" s="377" t="str">
        <f>IF(TRIM(J66)="", "", IF(VLOOKUP(J66,'Footnotes list'!$D$9:$E$58,2,FALSE)=0,"",VLOOKUP(J66,'Footnotes list'!$D$9:$E$58,2,FALSE) ) )</f>
        <v/>
      </c>
      <c r="L66" s="378"/>
      <c r="M66" s="379"/>
      <c r="N66" s="380"/>
      <c r="O66" s="381"/>
      <c r="P66" s="377" t="str">
        <f>IF(TRIM(O66)="", "", IF(VLOOKUP(O66,'Footnotes list'!$D$9:$E$58,2,FALSE)=0,"",VLOOKUP(O66,'Footnotes list'!$D$9:$E$58,2,FALSE) ) )</f>
        <v/>
      </c>
      <c r="Q66" s="378"/>
      <c r="R66" s="379"/>
      <c r="S66" s="380"/>
      <c r="T66" s="381"/>
      <c r="U66" s="377" t="str">
        <f>IF(TRIM(T66)="", "", IF(VLOOKUP(T66,'Footnotes list'!$D$9:$E$58,2,FALSE)=0,"",VLOOKUP(T66,'Footnotes list'!$D$9:$E$58,2,FALSE) ) )</f>
        <v/>
      </c>
      <c r="V66" s="378"/>
      <c r="W66" s="379"/>
      <c r="X66" s="380"/>
      <c r="Y66" s="381"/>
      <c r="Z66" s="377" t="str">
        <f>IF(TRIM(Y66)="", "", IF(VLOOKUP(Y66,'Footnotes list'!$D$9:$E$58,2,FALSE)=0,"",VLOOKUP(Y66,'Footnotes list'!$D$9:$E$58,2,FALSE) ) )</f>
        <v/>
      </c>
      <c r="AA66" s="129" t="str">
        <f>IF(AND(TRIM(Q66)="",TRIM(V66)=""),"",Q66+V66)</f>
        <v/>
      </c>
      <c r="AB66" s="379"/>
      <c r="AC66" s="380"/>
      <c r="AD66" s="381"/>
      <c r="AE66" s="377" t="str">
        <f>IF(TRIM(AD66)="", "", IF(VLOOKUP(AD66,'Footnotes list'!$D$9:$E$58,2,FALSE)=0,"",VLOOKUP(AD66,'Footnotes list'!$D$9:$E$58,2,FALSE) ) )</f>
        <v/>
      </c>
      <c r="AF66" s="378"/>
      <c r="AG66" s="379"/>
      <c r="AH66" s="380"/>
      <c r="AI66" s="381"/>
      <c r="AJ66" s="377" t="str">
        <f>IF(TRIM(AI66)="", "", IF(VLOOKUP(AI66,'Footnotes list'!$D$9:$E$58,2,FALSE)=0,"",VLOOKUP(AI66,'Footnotes list'!$D$9:$E$58,2,FALSE) ) )</f>
        <v/>
      </c>
      <c r="AK66" s="378"/>
      <c r="AL66" s="379"/>
      <c r="AM66" s="380"/>
      <c r="AN66" s="381"/>
      <c r="AO66" s="377" t="str">
        <f>IF(TRIM(AN66)="", "", IF(VLOOKUP(AN66,'Footnotes list'!$D$9:$E$58,2,FALSE)=0,"",VLOOKUP(AN66,'Footnotes list'!$D$9:$E$58,2,FALSE) ) )</f>
        <v/>
      </c>
      <c r="AP66" s="129" t="str">
        <f>IF(AND(TRIM(AF66)="",TRIM(AK66)=""),"",AF66+AK66)</f>
        <v/>
      </c>
      <c r="AQ66" s="379"/>
      <c r="AR66" s="380"/>
      <c r="AS66" s="381"/>
      <c r="AT66" s="377" t="str">
        <f>IF(TRIM(AS66)="", "", IF(VLOOKUP(AS66,'Footnotes list'!$D$9:$E$58,2,FALSE)=0,"",VLOOKUP(AS66,'Footnotes list'!$D$9:$E$58,2,FALSE) ) )</f>
        <v/>
      </c>
      <c r="AU66" s="403" t="str">
        <f>IF(AND(TRIM(G66)="",TRIM(L66)="",TRIM(AA66)="",TRIM(AP66)=""),"",SUM(G66,L66,AA66,AP66))</f>
        <v/>
      </c>
      <c r="AV66" s="379"/>
      <c r="AW66" s="380"/>
      <c r="AX66" s="381"/>
      <c r="AY66" s="377" t="str">
        <f>IF(TRIM(AX66)="", "", IF(VLOOKUP(AX66,'Footnotes list'!$D$9:$E$58,2,FALSE)=0,"",VLOOKUP(AX66,'Footnotes list'!$D$9:$E$58,2,FALSE) ) )</f>
        <v/>
      </c>
    </row>
    <row r="67" spans="2:51" ht="15" customHeight="1" thickBot="1" x14ac:dyDescent="0.4">
      <c r="B67" s="536"/>
      <c r="C67" s="53" t="s">
        <v>129</v>
      </c>
      <c r="D67" s="530"/>
      <c r="E67" s="47" t="s">
        <v>146</v>
      </c>
      <c r="F67" s="54" t="s">
        <v>234</v>
      </c>
      <c r="G67" s="126" t="str">
        <f>IF(AND(TRIM(G65)="",TRIM(G66)=""),"",G65+G66)</f>
        <v/>
      </c>
      <c r="H67" s="379"/>
      <c r="I67" s="380"/>
      <c r="J67" s="381"/>
      <c r="K67" s="377" t="str">
        <f>IF(TRIM(J67)="", "", IF(VLOOKUP(J67,'Footnotes list'!$D$9:$E$58,2,FALSE)=0,"",VLOOKUP(J67,'Footnotes list'!$D$9:$E$58,2,FALSE) ) )</f>
        <v/>
      </c>
      <c r="L67" s="126" t="str">
        <f>IF(AND(TRIM(L65)="",TRIM(L66)=""),"",L65+L66)</f>
        <v/>
      </c>
      <c r="M67" s="379"/>
      <c r="N67" s="380"/>
      <c r="O67" s="381"/>
      <c r="P67" s="377" t="str">
        <f>IF(TRIM(O67)="", "", IF(VLOOKUP(O67,'Footnotes list'!$D$9:$E$58,2,FALSE)=0,"",VLOOKUP(O67,'Footnotes list'!$D$9:$E$58,2,FALSE) ) )</f>
        <v/>
      </c>
      <c r="Q67" s="126" t="str">
        <f>IF(AND(TRIM(Q65)="",TRIM(Q66)=""),"",Q65+Q66)</f>
        <v/>
      </c>
      <c r="R67" s="379"/>
      <c r="S67" s="380"/>
      <c r="T67" s="381"/>
      <c r="U67" s="377" t="str">
        <f>IF(TRIM(T67)="", "", IF(VLOOKUP(T67,'Footnotes list'!$D$9:$E$58,2,FALSE)=0,"",VLOOKUP(T67,'Footnotes list'!$D$9:$E$58,2,FALSE) ) )</f>
        <v/>
      </c>
      <c r="V67" s="126" t="str">
        <f>IF(AND(TRIM(V65)="",TRIM(V66)=""),"",V65+V66)</f>
        <v/>
      </c>
      <c r="W67" s="379"/>
      <c r="X67" s="380"/>
      <c r="Y67" s="381"/>
      <c r="Z67" s="377" t="str">
        <f>IF(TRIM(Y67)="", "", IF(VLOOKUP(Y67,'Footnotes list'!$D$9:$E$58,2,FALSE)=0,"",VLOOKUP(Y67,'Footnotes list'!$D$9:$E$58,2,FALSE) ) )</f>
        <v/>
      </c>
      <c r="AA67" s="126" t="str">
        <f>IF(AND(TRIM(AA65)="", TRIM(AA66)=""), "", SUM(AA65,AA66))</f>
        <v/>
      </c>
      <c r="AB67" s="379"/>
      <c r="AC67" s="380"/>
      <c r="AD67" s="381"/>
      <c r="AE67" s="377" t="str">
        <f>IF(TRIM(AD67)="", "", IF(VLOOKUP(AD67,'Footnotes list'!$D$9:$E$58,2,FALSE)=0,"",VLOOKUP(AD67,'Footnotes list'!$D$9:$E$58,2,FALSE) ) )</f>
        <v/>
      </c>
      <c r="AF67" s="126" t="str">
        <f>IF(AND(TRIM(AF65)="",TRIM(AF66)=""),"",AF65+AF66)</f>
        <v/>
      </c>
      <c r="AG67" s="379"/>
      <c r="AH67" s="380"/>
      <c r="AI67" s="381"/>
      <c r="AJ67" s="377" t="str">
        <f>IF(TRIM(AI67)="", "", IF(VLOOKUP(AI67,'Footnotes list'!$D$9:$E$58,2,FALSE)=0,"",VLOOKUP(AI67,'Footnotes list'!$D$9:$E$58,2,FALSE) ) )</f>
        <v/>
      </c>
      <c r="AK67" s="126" t="str">
        <f>IF(AND(TRIM(AK65)="",TRIM(AK66)=""),"",AK65+AK66)</f>
        <v/>
      </c>
      <c r="AL67" s="379"/>
      <c r="AM67" s="380"/>
      <c r="AN67" s="381"/>
      <c r="AO67" s="377" t="str">
        <f>IF(TRIM(AN67)="", "", IF(VLOOKUP(AN67,'Footnotes list'!$D$9:$E$58,2,FALSE)=0,"",VLOOKUP(AN67,'Footnotes list'!$D$9:$E$58,2,FALSE) ) )</f>
        <v/>
      </c>
      <c r="AP67" s="126" t="str">
        <f>IF(AND(TRIM(AP65)="", TRIM(AP66)=""), "", SUM(AP65,AP66))</f>
        <v/>
      </c>
      <c r="AQ67" s="379"/>
      <c r="AR67" s="380"/>
      <c r="AS67" s="381"/>
      <c r="AT67" s="377" t="str">
        <f>IF(TRIM(AS67)="", "", IF(VLOOKUP(AS67,'Footnotes list'!$D$9:$E$58,2,FALSE)=0,"",VLOOKUP(AS67,'Footnotes list'!$D$9:$E$58,2,FALSE) ) )</f>
        <v/>
      </c>
      <c r="AU67" s="126" t="str">
        <f>IF(AND(TRIM(AU65)="", TRIM(AU66)=""), "", SUM(AU65,AU66) )</f>
        <v/>
      </c>
      <c r="AV67" s="379"/>
      <c r="AW67" s="380"/>
      <c r="AX67" s="381"/>
      <c r="AY67" s="377" t="str">
        <f>IF(TRIM(AX67)="", "", IF(VLOOKUP(AX67,'Footnotes list'!$D$9:$E$58,2,FALSE)=0,"",VLOOKUP(AX67,'Footnotes list'!$D$9:$E$58,2,FALSE) ) )</f>
        <v/>
      </c>
    </row>
    <row r="68" spans="2:51" ht="15" customHeight="1" thickBot="1" x14ac:dyDescent="0.4">
      <c r="B68" s="534" t="s">
        <v>130</v>
      </c>
      <c r="C68" s="55"/>
      <c r="D68" s="528" t="s">
        <v>95</v>
      </c>
      <c r="E68" s="55"/>
      <c r="F68" s="45" t="s">
        <v>233</v>
      </c>
      <c r="G68" s="125"/>
      <c r="H68" s="137"/>
      <c r="I68" s="138"/>
      <c r="J68" s="139"/>
      <c r="K68" s="136"/>
      <c r="L68" s="125"/>
      <c r="M68" s="137"/>
      <c r="N68" s="138"/>
      <c r="O68" s="139"/>
      <c r="P68" s="136"/>
      <c r="Q68" s="125"/>
      <c r="R68" s="137"/>
      <c r="S68" s="138"/>
      <c r="T68" s="139"/>
      <c r="U68" s="136"/>
      <c r="V68" s="125"/>
      <c r="W68" s="137"/>
      <c r="X68" s="138"/>
      <c r="Y68" s="139"/>
      <c r="Z68" s="136"/>
      <c r="AA68" s="125"/>
      <c r="AB68" s="137"/>
      <c r="AC68" s="138"/>
      <c r="AD68" s="139"/>
      <c r="AE68" s="136"/>
      <c r="AF68" s="125"/>
      <c r="AG68" s="137"/>
      <c r="AH68" s="138"/>
      <c r="AI68" s="139"/>
      <c r="AJ68" s="136"/>
      <c r="AK68" s="125"/>
      <c r="AL68" s="137"/>
      <c r="AM68" s="138"/>
      <c r="AN68" s="139"/>
      <c r="AO68" s="136"/>
      <c r="AP68" s="125"/>
      <c r="AQ68" s="137"/>
      <c r="AR68" s="138"/>
      <c r="AS68" s="139"/>
      <c r="AT68" s="136"/>
      <c r="AU68" s="125"/>
      <c r="AV68" s="137"/>
      <c r="AW68" s="138"/>
      <c r="AX68" s="139"/>
      <c r="AY68" s="136"/>
    </row>
    <row r="69" spans="2:51" ht="15" customHeight="1" x14ac:dyDescent="0.35">
      <c r="B69" s="535"/>
      <c r="C69" s="50" t="s">
        <v>130</v>
      </c>
      <c r="D69" s="529"/>
      <c r="E69" s="51" t="s">
        <v>145</v>
      </c>
      <c r="F69" s="52" t="s">
        <v>152</v>
      </c>
      <c r="G69" s="378"/>
      <c r="H69" s="379"/>
      <c r="I69" s="380"/>
      <c r="J69" s="381"/>
      <c r="K69" s="377" t="str">
        <f>IF(TRIM(J69)="", "", IF(VLOOKUP(J69,'Footnotes list'!$D$9:$E$58,2,FALSE)=0,"",VLOOKUP(J69,'Footnotes list'!$D$9:$E$58,2,FALSE) ) )</f>
        <v/>
      </c>
      <c r="L69" s="378"/>
      <c r="M69" s="379"/>
      <c r="N69" s="380"/>
      <c r="O69" s="381"/>
      <c r="P69" s="377" t="str">
        <f>IF(TRIM(O69)="", "", IF(VLOOKUP(O69,'Footnotes list'!$D$9:$E$58,2,FALSE)=0,"",VLOOKUP(O69,'Footnotes list'!$D$9:$E$58,2,FALSE) ) )</f>
        <v/>
      </c>
      <c r="Q69" s="378"/>
      <c r="R69" s="379"/>
      <c r="S69" s="380"/>
      <c r="T69" s="381"/>
      <c r="U69" s="377" t="str">
        <f>IF(TRIM(T69)="", "", IF(VLOOKUP(T69,'Footnotes list'!$D$9:$E$58,2,FALSE)=0,"",VLOOKUP(T69,'Footnotes list'!$D$9:$E$58,2,FALSE) ) )</f>
        <v/>
      </c>
      <c r="V69" s="378"/>
      <c r="W69" s="379"/>
      <c r="X69" s="380"/>
      <c r="Y69" s="381"/>
      <c r="Z69" s="377" t="str">
        <f>IF(TRIM(Y69)="", "", IF(VLOOKUP(Y69,'Footnotes list'!$D$9:$E$58,2,FALSE)=0,"",VLOOKUP(Y69,'Footnotes list'!$D$9:$E$58,2,FALSE) ) )</f>
        <v/>
      </c>
      <c r="AA69" s="129" t="str">
        <f>IF(AND(TRIM(Q69)="",TRIM(V69)=""),"",Q69+V69)</f>
        <v/>
      </c>
      <c r="AB69" s="379"/>
      <c r="AC69" s="380"/>
      <c r="AD69" s="381"/>
      <c r="AE69" s="377" t="str">
        <f>IF(TRIM(AD69)="", "", IF(VLOOKUP(AD69,'Footnotes list'!$D$9:$E$58,2,FALSE)=0,"",VLOOKUP(AD69,'Footnotes list'!$D$9:$E$58,2,FALSE) ) )</f>
        <v/>
      </c>
      <c r="AF69" s="378"/>
      <c r="AG69" s="379"/>
      <c r="AH69" s="380"/>
      <c r="AI69" s="381"/>
      <c r="AJ69" s="377" t="str">
        <f>IF(TRIM(AI69)="", "", IF(VLOOKUP(AI69,'Footnotes list'!$D$9:$E$58,2,FALSE)=0,"",VLOOKUP(AI69,'Footnotes list'!$D$9:$E$58,2,FALSE) ) )</f>
        <v/>
      </c>
      <c r="AK69" s="378"/>
      <c r="AL69" s="379"/>
      <c r="AM69" s="380"/>
      <c r="AN69" s="381"/>
      <c r="AO69" s="377" t="str">
        <f>IF(TRIM(AN69)="", "", IF(VLOOKUP(AN69,'Footnotes list'!$D$9:$E$58,2,FALSE)=0,"",VLOOKUP(AN69,'Footnotes list'!$D$9:$E$58,2,FALSE) ) )</f>
        <v/>
      </c>
      <c r="AP69" s="129" t="str">
        <f>IF(AND(TRIM(AF69)="",TRIM(AK69)=""),"",AF69+AK69)</f>
        <v/>
      </c>
      <c r="AQ69" s="379"/>
      <c r="AR69" s="380"/>
      <c r="AS69" s="381"/>
      <c r="AT69" s="377" t="str">
        <f>IF(TRIM(AS69)="", "", IF(VLOOKUP(AS69,'Footnotes list'!$D$9:$E$58,2,FALSE)=0,"",VLOOKUP(AS69,'Footnotes list'!$D$9:$E$58,2,FALSE) ) )</f>
        <v/>
      </c>
      <c r="AU69" s="403" t="str">
        <f>IF(AND(TRIM(G69)="",TRIM(L69)="",TRIM(AA69)="",TRIM(AP69)=""),"",SUM(G69,L69,AA69,AP69))</f>
        <v/>
      </c>
      <c r="AV69" s="379"/>
      <c r="AW69" s="380"/>
      <c r="AX69" s="381"/>
      <c r="AY69" s="377" t="str">
        <f>IF(TRIM(AX69)="", "", IF(VLOOKUP(AX69,'Footnotes list'!$D$9:$E$58,2,FALSE)=0,"",VLOOKUP(AX69,'Footnotes list'!$D$9:$E$58,2,FALSE) ) )</f>
        <v/>
      </c>
    </row>
    <row r="70" spans="2:51" ht="15" customHeight="1" thickBot="1" x14ac:dyDescent="0.4">
      <c r="B70" s="536"/>
      <c r="C70" s="53" t="s">
        <v>130</v>
      </c>
      <c r="D70" s="530"/>
      <c r="E70" s="47" t="s">
        <v>146</v>
      </c>
      <c r="F70" s="54" t="s">
        <v>234</v>
      </c>
      <c r="G70" s="126" t="str">
        <f>IF(AND(TRIM(G68)="",TRIM(G69)=""),"",G68+G69)</f>
        <v/>
      </c>
      <c r="H70" s="379"/>
      <c r="I70" s="380"/>
      <c r="J70" s="381"/>
      <c r="K70" s="377" t="str">
        <f>IF(TRIM(J70)="", "", IF(VLOOKUP(J70,'Footnotes list'!$D$9:$E$58,2,FALSE)=0,"",VLOOKUP(J70,'Footnotes list'!$D$9:$E$58,2,FALSE) ) )</f>
        <v/>
      </c>
      <c r="L70" s="126" t="str">
        <f>IF(AND(TRIM(L68)="",TRIM(L69)=""),"",L68+L69)</f>
        <v/>
      </c>
      <c r="M70" s="379"/>
      <c r="N70" s="380"/>
      <c r="O70" s="381"/>
      <c r="P70" s="377" t="str">
        <f>IF(TRIM(O70)="", "", IF(VLOOKUP(O70,'Footnotes list'!$D$9:$E$58,2,FALSE)=0,"",VLOOKUP(O70,'Footnotes list'!$D$9:$E$58,2,FALSE) ) )</f>
        <v/>
      </c>
      <c r="Q70" s="126" t="str">
        <f>IF(AND(TRIM(Q68)="",TRIM(Q69)=""),"",Q68+Q69)</f>
        <v/>
      </c>
      <c r="R70" s="379"/>
      <c r="S70" s="380"/>
      <c r="T70" s="381"/>
      <c r="U70" s="377" t="str">
        <f>IF(TRIM(T70)="", "", IF(VLOOKUP(T70,'Footnotes list'!$D$9:$E$58,2,FALSE)=0,"",VLOOKUP(T70,'Footnotes list'!$D$9:$E$58,2,FALSE) ) )</f>
        <v/>
      </c>
      <c r="V70" s="126" t="str">
        <f>IF(AND(TRIM(V68)="",TRIM(V69)=""),"",V68+V69)</f>
        <v/>
      </c>
      <c r="W70" s="379"/>
      <c r="X70" s="380"/>
      <c r="Y70" s="381"/>
      <c r="Z70" s="377" t="str">
        <f>IF(TRIM(Y70)="", "", IF(VLOOKUP(Y70,'Footnotes list'!$D$9:$E$58,2,FALSE)=0,"",VLOOKUP(Y70,'Footnotes list'!$D$9:$E$58,2,FALSE) ) )</f>
        <v/>
      </c>
      <c r="AA70" s="126" t="str">
        <f>IF(AND(TRIM(AA68)="", TRIM(AA69)=""), "", SUM(AA68,AA69))</f>
        <v/>
      </c>
      <c r="AB70" s="379"/>
      <c r="AC70" s="380"/>
      <c r="AD70" s="381"/>
      <c r="AE70" s="377" t="str">
        <f>IF(TRIM(AD70)="", "", IF(VLOOKUP(AD70,'Footnotes list'!$D$9:$E$58,2,FALSE)=0,"",VLOOKUP(AD70,'Footnotes list'!$D$9:$E$58,2,FALSE) ) )</f>
        <v/>
      </c>
      <c r="AF70" s="126" t="str">
        <f>IF(AND(TRIM(AF68)="",TRIM(AF69)=""),"",AF68+AF69)</f>
        <v/>
      </c>
      <c r="AG70" s="379"/>
      <c r="AH70" s="380"/>
      <c r="AI70" s="381"/>
      <c r="AJ70" s="377" t="str">
        <f>IF(TRIM(AI70)="", "", IF(VLOOKUP(AI70,'Footnotes list'!$D$9:$E$58,2,FALSE)=0,"",VLOOKUP(AI70,'Footnotes list'!$D$9:$E$58,2,FALSE) ) )</f>
        <v/>
      </c>
      <c r="AK70" s="126" t="str">
        <f>IF(AND(TRIM(AK68)="",TRIM(AK69)=""),"",AK68+AK69)</f>
        <v/>
      </c>
      <c r="AL70" s="379"/>
      <c r="AM70" s="380"/>
      <c r="AN70" s="381"/>
      <c r="AO70" s="377" t="str">
        <f>IF(TRIM(AN70)="", "", IF(VLOOKUP(AN70,'Footnotes list'!$D$9:$E$58,2,FALSE)=0,"",VLOOKUP(AN70,'Footnotes list'!$D$9:$E$58,2,FALSE) ) )</f>
        <v/>
      </c>
      <c r="AP70" s="126" t="str">
        <f>IF(AND(TRIM(AP68)="", TRIM(AP69)=""), "", SUM(AP68,AP69))</f>
        <v/>
      </c>
      <c r="AQ70" s="379"/>
      <c r="AR70" s="380"/>
      <c r="AS70" s="381"/>
      <c r="AT70" s="377" t="str">
        <f>IF(TRIM(AS70)="", "", IF(VLOOKUP(AS70,'Footnotes list'!$D$9:$E$58,2,FALSE)=0,"",VLOOKUP(AS70,'Footnotes list'!$D$9:$E$58,2,FALSE) ) )</f>
        <v/>
      </c>
      <c r="AU70" s="126" t="str">
        <f>IF(AND(TRIM(AU68)="", TRIM(AU69)=""), "", SUM(AU68,AU69) )</f>
        <v/>
      </c>
      <c r="AV70" s="379"/>
      <c r="AW70" s="380"/>
      <c r="AX70" s="381"/>
      <c r="AY70" s="377" t="str">
        <f>IF(TRIM(AX70)="", "", IF(VLOOKUP(AX70,'Footnotes list'!$D$9:$E$58,2,FALSE)=0,"",VLOOKUP(AX70,'Footnotes list'!$D$9:$E$58,2,FALSE) ) )</f>
        <v/>
      </c>
    </row>
    <row r="71" spans="2:51" ht="15" customHeight="1" thickBot="1" x14ac:dyDescent="0.4">
      <c r="B71" s="534" t="s">
        <v>131</v>
      </c>
      <c r="C71" s="55"/>
      <c r="D71" s="528" t="s">
        <v>96</v>
      </c>
      <c r="E71" s="55"/>
      <c r="F71" s="45" t="s">
        <v>233</v>
      </c>
      <c r="G71" s="125"/>
      <c r="H71" s="137"/>
      <c r="I71" s="138"/>
      <c r="J71" s="139"/>
      <c r="K71" s="136"/>
      <c r="L71" s="125"/>
      <c r="M71" s="137"/>
      <c r="N71" s="138"/>
      <c r="O71" s="139"/>
      <c r="P71" s="136"/>
      <c r="Q71" s="125"/>
      <c r="R71" s="137"/>
      <c r="S71" s="138"/>
      <c r="T71" s="139"/>
      <c r="U71" s="136"/>
      <c r="V71" s="125"/>
      <c r="W71" s="137"/>
      <c r="X71" s="138"/>
      <c r="Y71" s="139"/>
      <c r="Z71" s="136"/>
      <c r="AA71" s="125"/>
      <c r="AB71" s="137"/>
      <c r="AC71" s="138"/>
      <c r="AD71" s="139"/>
      <c r="AE71" s="136"/>
      <c r="AF71" s="125"/>
      <c r="AG71" s="137"/>
      <c r="AH71" s="138"/>
      <c r="AI71" s="139"/>
      <c r="AJ71" s="136"/>
      <c r="AK71" s="125"/>
      <c r="AL71" s="137"/>
      <c r="AM71" s="138"/>
      <c r="AN71" s="139"/>
      <c r="AO71" s="136"/>
      <c r="AP71" s="125"/>
      <c r="AQ71" s="137"/>
      <c r="AR71" s="138"/>
      <c r="AS71" s="139"/>
      <c r="AT71" s="136"/>
      <c r="AU71" s="125"/>
      <c r="AV71" s="137"/>
      <c r="AW71" s="138"/>
      <c r="AX71" s="139"/>
      <c r="AY71" s="136"/>
    </row>
    <row r="72" spans="2:51" ht="15" customHeight="1" x14ac:dyDescent="0.35">
      <c r="B72" s="535"/>
      <c r="C72" s="50" t="s">
        <v>131</v>
      </c>
      <c r="D72" s="529"/>
      <c r="E72" s="51" t="s">
        <v>145</v>
      </c>
      <c r="F72" s="52" t="s">
        <v>152</v>
      </c>
      <c r="G72" s="378"/>
      <c r="H72" s="379"/>
      <c r="I72" s="380"/>
      <c r="J72" s="381"/>
      <c r="K72" s="377" t="str">
        <f>IF(TRIM(J72)="", "", IF(VLOOKUP(J72,'Footnotes list'!$D$9:$E$58,2,FALSE)=0,"",VLOOKUP(J72,'Footnotes list'!$D$9:$E$58,2,FALSE) ) )</f>
        <v/>
      </c>
      <c r="L72" s="378"/>
      <c r="M72" s="379"/>
      <c r="N72" s="380"/>
      <c r="O72" s="381"/>
      <c r="P72" s="377" t="str">
        <f>IF(TRIM(O72)="", "", IF(VLOOKUP(O72,'Footnotes list'!$D$9:$E$58,2,FALSE)=0,"",VLOOKUP(O72,'Footnotes list'!$D$9:$E$58,2,FALSE) ) )</f>
        <v/>
      </c>
      <c r="Q72" s="378"/>
      <c r="R72" s="379"/>
      <c r="S72" s="380"/>
      <c r="T72" s="381"/>
      <c r="U72" s="377" t="str">
        <f>IF(TRIM(T72)="", "", IF(VLOOKUP(T72,'Footnotes list'!$D$9:$E$58,2,FALSE)=0,"",VLOOKUP(T72,'Footnotes list'!$D$9:$E$58,2,FALSE) ) )</f>
        <v/>
      </c>
      <c r="V72" s="378"/>
      <c r="W72" s="379"/>
      <c r="X72" s="380"/>
      <c r="Y72" s="381"/>
      <c r="Z72" s="377" t="str">
        <f>IF(TRIM(Y72)="", "", IF(VLOOKUP(Y72,'Footnotes list'!$D$9:$E$58,2,FALSE)=0,"",VLOOKUP(Y72,'Footnotes list'!$D$9:$E$58,2,FALSE) ) )</f>
        <v/>
      </c>
      <c r="AA72" s="129" t="str">
        <f>IF(AND(TRIM(Q72)="",TRIM(V72)=""),"",Q72+V72)</f>
        <v/>
      </c>
      <c r="AB72" s="379"/>
      <c r="AC72" s="380"/>
      <c r="AD72" s="381"/>
      <c r="AE72" s="377" t="str">
        <f>IF(TRIM(AD72)="", "", IF(VLOOKUP(AD72,'Footnotes list'!$D$9:$E$58,2,FALSE)=0,"",VLOOKUP(AD72,'Footnotes list'!$D$9:$E$58,2,FALSE) ) )</f>
        <v/>
      </c>
      <c r="AF72" s="378"/>
      <c r="AG72" s="379"/>
      <c r="AH72" s="380"/>
      <c r="AI72" s="381"/>
      <c r="AJ72" s="377" t="str">
        <f>IF(TRIM(AI72)="", "", IF(VLOOKUP(AI72,'Footnotes list'!$D$9:$E$58,2,FALSE)=0,"",VLOOKUP(AI72,'Footnotes list'!$D$9:$E$58,2,FALSE) ) )</f>
        <v/>
      </c>
      <c r="AK72" s="378"/>
      <c r="AL72" s="379"/>
      <c r="AM72" s="380"/>
      <c r="AN72" s="381"/>
      <c r="AO72" s="377" t="str">
        <f>IF(TRIM(AN72)="", "", IF(VLOOKUP(AN72,'Footnotes list'!$D$9:$E$58,2,FALSE)=0,"",VLOOKUP(AN72,'Footnotes list'!$D$9:$E$58,2,FALSE) ) )</f>
        <v/>
      </c>
      <c r="AP72" s="129" t="str">
        <f>IF(AND(TRIM(AF72)="",TRIM(AK72)=""),"",AF72+AK72)</f>
        <v/>
      </c>
      <c r="AQ72" s="379"/>
      <c r="AR72" s="380"/>
      <c r="AS72" s="381"/>
      <c r="AT72" s="377" t="str">
        <f>IF(TRIM(AS72)="", "", IF(VLOOKUP(AS72,'Footnotes list'!$D$9:$E$58,2,FALSE)=0,"",VLOOKUP(AS72,'Footnotes list'!$D$9:$E$58,2,FALSE) ) )</f>
        <v/>
      </c>
      <c r="AU72" s="403" t="str">
        <f>IF(AND(TRIM(G72)="",TRIM(L72)="",TRIM(AA72)="",TRIM(AP72)=""),"",SUM(G72,L72,AA72,AP72))</f>
        <v/>
      </c>
      <c r="AV72" s="379"/>
      <c r="AW72" s="380"/>
      <c r="AX72" s="381"/>
      <c r="AY72" s="377" t="str">
        <f>IF(TRIM(AX72)="", "", IF(VLOOKUP(AX72,'Footnotes list'!$D$9:$E$58,2,FALSE)=0,"",VLOOKUP(AX72,'Footnotes list'!$D$9:$E$58,2,FALSE) ) )</f>
        <v/>
      </c>
    </row>
    <row r="73" spans="2:51" ht="15" customHeight="1" thickBot="1" x14ac:dyDescent="0.4">
      <c r="B73" s="536"/>
      <c r="C73" s="53" t="s">
        <v>131</v>
      </c>
      <c r="D73" s="530"/>
      <c r="E73" s="47" t="s">
        <v>146</v>
      </c>
      <c r="F73" s="54" t="s">
        <v>234</v>
      </c>
      <c r="G73" s="126" t="str">
        <f>IF(AND(TRIM(G71)="",TRIM(G72)=""),"",G71+G72)</f>
        <v/>
      </c>
      <c r="H73" s="379"/>
      <c r="I73" s="380"/>
      <c r="J73" s="381"/>
      <c r="K73" s="377" t="str">
        <f>IF(TRIM(J73)="", "", IF(VLOOKUP(J73,'Footnotes list'!$D$9:$E$58,2,FALSE)=0,"",VLOOKUP(J73,'Footnotes list'!$D$9:$E$58,2,FALSE) ) )</f>
        <v/>
      </c>
      <c r="L73" s="126" t="str">
        <f>IF(AND(TRIM(L71)="",TRIM(L72)=""),"",L71+L72)</f>
        <v/>
      </c>
      <c r="M73" s="379"/>
      <c r="N73" s="380"/>
      <c r="O73" s="381"/>
      <c r="P73" s="377" t="str">
        <f>IF(TRIM(O73)="", "", IF(VLOOKUP(O73,'Footnotes list'!$D$9:$E$58,2,FALSE)=0,"",VLOOKUP(O73,'Footnotes list'!$D$9:$E$58,2,FALSE) ) )</f>
        <v/>
      </c>
      <c r="Q73" s="126" t="str">
        <f>IF(AND(TRIM(Q71)="",TRIM(Q72)=""),"",Q71+Q72)</f>
        <v/>
      </c>
      <c r="R73" s="379"/>
      <c r="S73" s="380"/>
      <c r="T73" s="381"/>
      <c r="U73" s="377" t="str">
        <f>IF(TRIM(T73)="", "", IF(VLOOKUP(T73,'Footnotes list'!$D$9:$E$58,2,FALSE)=0,"",VLOOKUP(T73,'Footnotes list'!$D$9:$E$58,2,FALSE) ) )</f>
        <v/>
      </c>
      <c r="V73" s="126" t="str">
        <f>IF(AND(TRIM(V71)="",TRIM(V72)=""),"",V71+V72)</f>
        <v/>
      </c>
      <c r="W73" s="379"/>
      <c r="X73" s="380"/>
      <c r="Y73" s="381"/>
      <c r="Z73" s="377" t="str">
        <f>IF(TRIM(Y73)="", "", IF(VLOOKUP(Y73,'Footnotes list'!$D$9:$E$58,2,FALSE)=0,"",VLOOKUP(Y73,'Footnotes list'!$D$9:$E$58,2,FALSE) ) )</f>
        <v/>
      </c>
      <c r="AA73" s="126" t="str">
        <f>IF(AND(TRIM(AA71)="", TRIM(AA72)=""), "", SUM(AA71,AA72))</f>
        <v/>
      </c>
      <c r="AB73" s="379"/>
      <c r="AC73" s="380"/>
      <c r="AD73" s="381"/>
      <c r="AE73" s="377" t="str">
        <f>IF(TRIM(AD73)="", "", IF(VLOOKUP(AD73,'Footnotes list'!$D$9:$E$58,2,FALSE)=0,"",VLOOKUP(AD73,'Footnotes list'!$D$9:$E$58,2,FALSE) ) )</f>
        <v/>
      </c>
      <c r="AF73" s="126" t="str">
        <f>IF(AND(TRIM(AF71)="",TRIM(AF72)=""),"",AF71+AF72)</f>
        <v/>
      </c>
      <c r="AG73" s="379"/>
      <c r="AH73" s="380"/>
      <c r="AI73" s="381"/>
      <c r="AJ73" s="377" t="str">
        <f>IF(TRIM(AI73)="", "", IF(VLOOKUP(AI73,'Footnotes list'!$D$9:$E$58,2,FALSE)=0,"",VLOOKUP(AI73,'Footnotes list'!$D$9:$E$58,2,FALSE) ) )</f>
        <v/>
      </c>
      <c r="AK73" s="126" t="str">
        <f>IF(AND(TRIM(AK71)="",TRIM(AK72)=""),"",AK71+AK72)</f>
        <v/>
      </c>
      <c r="AL73" s="379"/>
      <c r="AM73" s="380"/>
      <c r="AN73" s="381"/>
      <c r="AO73" s="377" t="str">
        <f>IF(TRIM(AN73)="", "", IF(VLOOKUP(AN73,'Footnotes list'!$D$9:$E$58,2,FALSE)=0,"",VLOOKUP(AN73,'Footnotes list'!$D$9:$E$58,2,FALSE) ) )</f>
        <v/>
      </c>
      <c r="AP73" s="126" t="str">
        <f>IF(AND(TRIM(AP71)="", TRIM(AP72)=""), "", SUM(AP71,AP72))</f>
        <v/>
      </c>
      <c r="AQ73" s="379"/>
      <c r="AR73" s="380"/>
      <c r="AS73" s="381"/>
      <c r="AT73" s="377" t="str">
        <f>IF(TRIM(AS73)="", "", IF(VLOOKUP(AS73,'Footnotes list'!$D$9:$E$58,2,FALSE)=0,"",VLOOKUP(AS73,'Footnotes list'!$D$9:$E$58,2,FALSE) ) )</f>
        <v/>
      </c>
      <c r="AU73" s="126" t="str">
        <f>IF(AND(TRIM(AU71)="", TRIM(AU72)=""), "", SUM(AU71,AU72) )</f>
        <v/>
      </c>
      <c r="AV73" s="379"/>
      <c r="AW73" s="380"/>
      <c r="AX73" s="381"/>
      <c r="AY73" s="377" t="str">
        <f>IF(TRIM(AX73)="", "", IF(VLOOKUP(AX73,'Footnotes list'!$D$9:$E$58,2,FALSE)=0,"",VLOOKUP(AX73,'Footnotes list'!$D$9:$E$58,2,FALSE) ) )</f>
        <v/>
      </c>
    </row>
    <row r="74" spans="2:51" ht="15" customHeight="1" thickBot="1" x14ac:dyDescent="0.4">
      <c r="B74" s="534" t="s">
        <v>132</v>
      </c>
      <c r="C74" s="55"/>
      <c r="D74" s="528" t="s">
        <v>97</v>
      </c>
      <c r="E74" s="55"/>
      <c r="F74" s="45" t="s">
        <v>233</v>
      </c>
      <c r="G74" s="125"/>
      <c r="H74" s="137"/>
      <c r="I74" s="138"/>
      <c r="J74" s="139"/>
      <c r="K74" s="136"/>
      <c r="L74" s="125"/>
      <c r="M74" s="137"/>
      <c r="N74" s="138"/>
      <c r="O74" s="139"/>
      <c r="P74" s="136"/>
      <c r="Q74" s="125"/>
      <c r="R74" s="137"/>
      <c r="S74" s="138"/>
      <c r="T74" s="139"/>
      <c r="U74" s="136"/>
      <c r="V74" s="125"/>
      <c r="W74" s="137"/>
      <c r="X74" s="138"/>
      <c r="Y74" s="139"/>
      <c r="Z74" s="136"/>
      <c r="AA74" s="125"/>
      <c r="AB74" s="137"/>
      <c r="AC74" s="138"/>
      <c r="AD74" s="139"/>
      <c r="AE74" s="136"/>
      <c r="AF74" s="125"/>
      <c r="AG74" s="137"/>
      <c r="AH74" s="138"/>
      <c r="AI74" s="139"/>
      <c r="AJ74" s="136"/>
      <c r="AK74" s="125"/>
      <c r="AL74" s="137"/>
      <c r="AM74" s="138"/>
      <c r="AN74" s="139"/>
      <c r="AO74" s="136"/>
      <c r="AP74" s="125"/>
      <c r="AQ74" s="137"/>
      <c r="AR74" s="138"/>
      <c r="AS74" s="139"/>
      <c r="AT74" s="136"/>
      <c r="AU74" s="125"/>
      <c r="AV74" s="137"/>
      <c r="AW74" s="138"/>
      <c r="AX74" s="139"/>
      <c r="AY74" s="136"/>
    </row>
    <row r="75" spans="2:51" ht="15" customHeight="1" x14ac:dyDescent="0.35">
      <c r="B75" s="535"/>
      <c r="C75" s="50" t="s">
        <v>132</v>
      </c>
      <c r="D75" s="529"/>
      <c r="E75" s="51" t="s">
        <v>145</v>
      </c>
      <c r="F75" s="52" t="s">
        <v>152</v>
      </c>
      <c r="G75" s="378"/>
      <c r="H75" s="379"/>
      <c r="I75" s="380"/>
      <c r="J75" s="381"/>
      <c r="K75" s="377" t="str">
        <f>IF(TRIM(J75)="", "", IF(VLOOKUP(J75,'Footnotes list'!$D$9:$E$58,2,FALSE)=0,"",VLOOKUP(J75,'Footnotes list'!$D$9:$E$58,2,FALSE) ) )</f>
        <v/>
      </c>
      <c r="L75" s="378"/>
      <c r="M75" s="379"/>
      <c r="N75" s="380"/>
      <c r="O75" s="381"/>
      <c r="P75" s="377" t="str">
        <f>IF(TRIM(O75)="", "", IF(VLOOKUP(O75,'Footnotes list'!$D$9:$E$58,2,FALSE)=0,"",VLOOKUP(O75,'Footnotes list'!$D$9:$E$58,2,FALSE) ) )</f>
        <v/>
      </c>
      <c r="Q75" s="378"/>
      <c r="R75" s="379"/>
      <c r="S75" s="380"/>
      <c r="T75" s="381"/>
      <c r="U75" s="377" t="str">
        <f>IF(TRIM(T75)="", "", IF(VLOOKUP(T75,'Footnotes list'!$D$9:$E$58,2,FALSE)=0,"",VLOOKUP(T75,'Footnotes list'!$D$9:$E$58,2,FALSE) ) )</f>
        <v/>
      </c>
      <c r="V75" s="378"/>
      <c r="W75" s="379"/>
      <c r="X75" s="380"/>
      <c r="Y75" s="381"/>
      <c r="Z75" s="377" t="str">
        <f>IF(TRIM(Y75)="", "", IF(VLOOKUP(Y75,'Footnotes list'!$D$9:$E$58,2,FALSE)=0,"",VLOOKUP(Y75,'Footnotes list'!$D$9:$E$58,2,FALSE) ) )</f>
        <v/>
      </c>
      <c r="AA75" s="129" t="str">
        <f>IF(AND(TRIM(Q75)="",TRIM(V75)=""),"",Q75+V75)</f>
        <v/>
      </c>
      <c r="AB75" s="379"/>
      <c r="AC75" s="380"/>
      <c r="AD75" s="381"/>
      <c r="AE75" s="377" t="str">
        <f>IF(TRIM(AD75)="", "", IF(VLOOKUP(AD75,'Footnotes list'!$D$9:$E$58,2,FALSE)=0,"",VLOOKUP(AD75,'Footnotes list'!$D$9:$E$58,2,FALSE) ) )</f>
        <v/>
      </c>
      <c r="AF75" s="378"/>
      <c r="AG75" s="379"/>
      <c r="AH75" s="380"/>
      <c r="AI75" s="381"/>
      <c r="AJ75" s="377" t="str">
        <f>IF(TRIM(AI75)="", "", IF(VLOOKUP(AI75,'Footnotes list'!$D$9:$E$58,2,FALSE)=0,"",VLOOKUP(AI75,'Footnotes list'!$D$9:$E$58,2,FALSE) ) )</f>
        <v/>
      </c>
      <c r="AK75" s="378"/>
      <c r="AL75" s="379"/>
      <c r="AM75" s="380"/>
      <c r="AN75" s="381"/>
      <c r="AO75" s="377" t="str">
        <f>IF(TRIM(AN75)="", "", IF(VLOOKUP(AN75,'Footnotes list'!$D$9:$E$58,2,FALSE)=0,"",VLOOKUP(AN75,'Footnotes list'!$D$9:$E$58,2,FALSE) ) )</f>
        <v/>
      </c>
      <c r="AP75" s="129" t="str">
        <f>IF(AND(TRIM(AF75)="",TRIM(AK75)=""),"",AF75+AK75)</f>
        <v/>
      </c>
      <c r="AQ75" s="379"/>
      <c r="AR75" s="380"/>
      <c r="AS75" s="381"/>
      <c r="AT75" s="377" t="str">
        <f>IF(TRIM(AS75)="", "", IF(VLOOKUP(AS75,'Footnotes list'!$D$9:$E$58,2,FALSE)=0,"",VLOOKUP(AS75,'Footnotes list'!$D$9:$E$58,2,FALSE) ) )</f>
        <v/>
      </c>
      <c r="AU75" s="403" t="str">
        <f>IF(AND(TRIM(G75)="",TRIM(L75)="",TRIM(AA75)="",TRIM(AP75)=""),"",SUM(G75,L75,AA75,AP75))</f>
        <v/>
      </c>
      <c r="AV75" s="379"/>
      <c r="AW75" s="380"/>
      <c r="AX75" s="381"/>
      <c r="AY75" s="377" t="str">
        <f>IF(TRIM(AX75)="", "", IF(VLOOKUP(AX75,'Footnotes list'!$D$9:$E$58,2,FALSE)=0,"",VLOOKUP(AX75,'Footnotes list'!$D$9:$E$58,2,FALSE) ) )</f>
        <v/>
      </c>
    </row>
    <row r="76" spans="2:51" ht="15" customHeight="1" thickBot="1" x14ac:dyDescent="0.4">
      <c r="B76" s="536"/>
      <c r="C76" s="53" t="s">
        <v>132</v>
      </c>
      <c r="D76" s="530"/>
      <c r="E76" s="47" t="s">
        <v>146</v>
      </c>
      <c r="F76" s="54" t="s">
        <v>234</v>
      </c>
      <c r="G76" s="126" t="str">
        <f>IF(AND(TRIM(G74)="",TRIM(G75)=""),"",G74+G75)</f>
        <v/>
      </c>
      <c r="H76" s="379"/>
      <c r="I76" s="380"/>
      <c r="J76" s="381"/>
      <c r="K76" s="377" t="str">
        <f>IF(TRIM(J76)="", "", IF(VLOOKUP(J76,'Footnotes list'!$D$9:$E$58,2,FALSE)=0,"",VLOOKUP(J76,'Footnotes list'!$D$9:$E$58,2,FALSE) ) )</f>
        <v/>
      </c>
      <c r="L76" s="126" t="str">
        <f>IF(AND(TRIM(L74)="",TRIM(L75)=""),"",L74+L75)</f>
        <v/>
      </c>
      <c r="M76" s="379"/>
      <c r="N76" s="380"/>
      <c r="O76" s="381"/>
      <c r="P76" s="377" t="str">
        <f>IF(TRIM(O76)="", "", IF(VLOOKUP(O76,'Footnotes list'!$D$9:$E$58,2,FALSE)=0,"",VLOOKUP(O76,'Footnotes list'!$D$9:$E$58,2,FALSE) ) )</f>
        <v/>
      </c>
      <c r="Q76" s="126" t="str">
        <f>IF(AND(TRIM(Q74)="",TRIM(Q75)=""),"",Q74+Q75)</f>
        <v/>
      </c>
      <c r="R76" s="379"/>
      <c r="S76" s="380"/>
      <c r="T76" s="381"/>
      <c r="U76" s="377" t="str">
        <f>IF(TRIM(T76)="", "", IF(VLOOKUP(T76,'Footnotes list'!$D$9:$E$58,2,FALSE)=0,"",VLOOKUP(T76,'Footnotes list'!$D$9:$E$58,2,FALSE) ) )</f>
        <v/>
      </c>
      <c r="V76" s="126" t="str">
        <f>IF(AND(TRIM(V74)="",TRIM(V75)=""),"",V74+V75)</f>
        <v/>
      </c>
      <c r="W76" s="379"/>
      <c r="X76" s="380"/>
      <c r="Y76" s="381"/>
      <c r="Z76" s="377" t="str">
        <f>IF(TRIM(Y76)="", "", IF(VLOOKUP(Y76,'Footnotes list'!$D$9:$E$58,2,FALSE)=0,"",VLOOKUP(Y76,'Footnotes list'!$D$9:$E$58,2,FALSE) ) )</f>
        <v/>
      </c>
      <c r="AA76" s="126" t="str">
        <f>IF(AND(TRIM(AA74)="", TRIM(AA75)=""), "", SUM(AA74,AA75))</f>
        <v/>
      </c>
      <c r="AB76" s="379"/>
      <c r="AC76" s="380"/>
      <c r="AD76" s="381"/>
      <c r="AE76" s="377" t="str">
        <f>IF(TRIM(AD76)="", "", IF(VLOOKUP(AD76,'Footnotes list'!$D$9:$E$58,2,FALSE)=0,"",VLOOKUP(AD76,'Footnotes list'!$D$9:$E$58,2,FALSE) ) )</f>
        <v/>
      </c>
      <c r="AF76" s="126" t="str">
        <f>IF(AND(TRIM(AF74)="",TRIM(AF75)=""),"",AF74+AF75)</f>
        <v/>
      </c>
      <c r="AG76" s="379"/>
      <c r="AH76" s="380"/>
      <c r="AI76" s="381"/>
      <c r="AJ76" s="377" t="str">
        <f>IF(TRIM(AI76)="", "", IF(VLOOKUP(AI76,'Footnotes list'!$D$9:$E$58,2,FALSE)=0,"",VLOOKUP(AI76,'Footnotes list'!$D$9:$E$58,2,FALSE) ) )</f>
        <v/>
      </c>
      <c r="AK76" s="126" t="str">
        <f>IF(AND(TRIM(AK74)="",TRIM(AK75)=""),"",AK74+AK75)</f>
        <v/>
      </c>
      <c r="AL76" s="379"/>
      <c r="AM76" s="380"/>
      <c r="AN76" s="381"/>
      <c r="AO76" s="377" t="str">
        <f>IF(TRIM(AN76)="", "", IF(VLOOKUP(AN76,'Footnotes list'!$D$9:$E$58,2,FALSE)=0,"",VLOOKUP(AN76,'Footnotes list'!$D$9:$E$58,2,FALSE) ) )</f>
        <v/>
      </c>
      <c r="AP76" s="126" t="str">
        <f>IF(AND(TRIM(AP74)="", TRIM(AP75)=""), "", SUM(AP74,AP75))</f>
        <v/>
      </c>
      <c r="AQ76" s="379"/>
      <c r="AR76" s="380"/>
      <c r="AS76" s="381"/>
      <c r="AT76" s="377" t="str">
        <f>IF(TRIM(AS76)="", "", IF(VLOOKUP(AS76,'Footnotes list'!$D$9:$E$58,2,FALSE)=0,"",VLOOKUP(AS76,'Footnotes list'!$D$9:$E$58,2,FALSE) ) )</f>
        <v/>
      </c>
      <c r="AU76" s="126" t="str">
        <f>IF(AND(TRIM(AU74)="", TRIM(AU75)=""), "", SUM(AU74,AU75) )</f>
        <v/>
      </c>
      <c r="AV76" s="379"/>
      <c r="AW76" s="380"/>
      <c r="AX76" s="381"/>
      <c r="AY76" s="377" t="str">
        <f>IF(TRIM(AX76)="", "", IF(VLOOKUP(AX76,'Footnotes list'!$D$9:$E$58,2,FALSE)=0,"",VLOOKUP(AX76,'Footnotes list'!$D$9:$E$58,2,FALSE) ) )</f>
        <v/>
      </c>
    </row>
    <row r="77" spans="2:51" ht="15" customHeight="1" thickBot="1" x14ac:dyDescent="0.4">
      <c r="B77" s="534" t="s">
        <v>133</v>
      </c>
      <c r="C77" s="55"/>
      <c r="D77" s="528" t="s">
        <v>98</v>
      </c>
      <c r="E77" s="55"/>
      <c r="F77" s="45" t="s">
        <v>233</v>
      </c>
      <c r="G77" s="125"/>
      <c r="H77" s="137"/>
      <c r="I77" s="138"/>
      <c r="J77" s="139"/>
      <c r="K77" s="136"/>
      <c r="L77" s="125"/>
      <c r="M77" s="137"/>
      <c r="N77" s="138"/>
      <c r="O77" s="139"/>
      <c r="P77" s="136"/>
      <c r="Q77" s="125"/>
      <c r="R77" s="137"/>
      <c r="S77" s="138"/>
      <c r="T77" s="139"/>
      <c r="U77" s="136"/>
      <c r="V77" s="125"/>
      <c r="W77" s="137"/>
      <c r="X77" s="138"/>
      <c r="Y77" s="139"/>
      <c r="Z77" s="136"/>
      <c r="AA77" s="125"/>
      <c r="AB77" s="137"/>
      <c r="AC77" s="138"/>
      <c r="AD77" s="139"/>
      <c r="AE77" s="136"/>
      <c r="AF77" s="125"/>
      <c r="AG77" s="137"/>
      <c r="AH77" s="138"/>
      <c r="AI77" s="139"/>
      <c r="AJ77" s="136"/>
      <c r="AK77" s="125"/>
      <c r="AL77" s="137"/>
      <c r="AM77" s="138"/>
      <c r="AN77" s="139"/>
      <c r="AO77" s="136"/>
      <c r="AP77" s="125"/>
      <c r="AQ77" s="137"/>
      <c r="AR77" s="138"/>
      <c r="AS77" s="139"/>
      <c r="AT77" s="136"/>
      <c r="AU77" s="125"/>
      <c r="AV77" s="137"/>
      <c r="AW77" s="138"/>
      <c r="AX77" s="139"/>
      <c r="AY77" s="136"/>
    </row>
    <row r="78" spans="2:51" ht="15" customHeight="1" x14ac:dyDescent="0.35">
      <c r="B78" s="535"/>
      <c r="C78" s="50" t="s">
        <v>133</v>
      </c>
      <c r="D78" s="529"/>
      <c r="E78" s="51" t="s">
        <v>145</v>
      </c>
      <c r="F78" s="52" t="s">
        <v>152</v>
      </c>
      <c r="G78" s="378"/>
      <c r="H78" s="379"/>
      <c r="I78" s="380"/>
      <c r="J78" s="381"/>
      <c r="K78" s="377" t="str">
        <f>IF(TRIM(J78)="", "", IF(VLOOKUP(J78,'Footnotes list'!$D$9:$E$58,2,FALSE)=0,"",VLOOKUP(J78,'Footnotes list'!$D$9:$E$58,2,FALSE) ) )</f>
        <v/>
      </c>
      <c r="L78" s="378"/>
      <c r="M78" s="379"/>
      <c r="N78" s="380"/>
      <c r="O78" s="381"/>
      <c r="P78" s="377" t="str">
        <f>IF(TRIM(O78)="", "", IF(VLOOKUP(O78,'Footnotes list'!$D$9:$E$58,2,FALSE)=0,"",VLOOKUP(O78,'Footnotes list'!$D$9:$E$58,2,FALSE) ) )</f>
        <v/>
      </c>
      <c r="Q78" s="378"/>
      <c r="R78" s="379"/>
      <c r="S78" s="380"/>
      <c r="T78" s="381"/>
      <c r="U78" s="377" t="str">
        <f>IF(TRIM(T78)="", "", IF(VLOOKUP(T78,'Footnotes list'!$D$9:$E$58,2,FALSE)=0,"",VLOOKUP(T78,'Footnotes list'!$D$9:$E$58,2,FALSE) ) )</f>
        <v/>
      </c>
      <c r="V78" s="378"/>
      <c r="W78" s="379"/>
      <c r="X78" s="380"/>
      <c r="Y78" s="381"/>
      <c r="Z78" s="377" t="str">
        <f>IF(TRIM(Y78)="", "", IF(VLOOKUP(Y78,'Footnotes list'!$D$9:$E$58,2,FALSE)=0,"",VLOOKUP(Y78,'Footnotes list'!$D$9:$E$58,2,FALSE) ) )</f>
        <v/>
      </c>
      <c r="AA78" s="129" t="str">
        <f>IF(AND(TRIM(Q78)="",TRIM(V78)=""),"",Q78+V78)</f>
        <v/>
      </c>
      <c r="AB78" s="379"/>
      <c r="AC78" s="380"/>
      <c r="AD78" s="381"/>
      <c r="AE78" s="377" t="str">
        <f>IF(TRIM(AD78)="", "", IF(VLOOKUP(AD78,'Footnotes list'!$D$9:$E$58,2,FALSE)=0,"",VLOOKUP(AD78,'Footnotes list'!$D$9:$E$58,2,FALSE) ) )</f>
        <v/>
      </c>
      <c r="AF78" s="378"/>
      <c r="AG78" s="379"/>
      <c r="AH78" s="380"/>
      <c r="AI78" s="381"/>
      <c r="AJ78" s="377" t="str">
        <f>IF(TRIM(AI78)="", "", IF(VLOOKUP(AI78,'Footnotes list'!$D$9:$E$58,2,FALSE)=0,"",VLOOKUP(AI78,'Footnotes list'!$D$9:$E$58,2,FALSE) ) )</f>
        <v/>
      </c>
      <c r="AK78" s="378"/>
      <c r="AL78" s="379"/>
      <c r="AM78" s="380"/>
      <c r="AN78" s="381"/>
      <c r="AO78" s="377" t="str">
        <f>IF(TRIM(AN78)="", "", IF(VLOOKUP(AN78,'Footnotes list'!$D$9:$E$58,2,FALSE)=0,"",VLOOKUP(AN78,'Footnotes list'!$D$9:$E$58,2,FALSE) ) )</f>
        <v/>
      </c>
      <c r="AP78" s="129" t="str">
        <f>IF(AND(TRIM(AF78)="",TRIM(AK78)=""),"",AF78+AK78)</f>
        <v/>
      </c>
      <c r="AQ78" s="379"/>
      <c r="AR78" s="380"/>
      <c r="AS78" s="381"/>
      <c r="AT78" s="377" t="str">
        <f>IF(TRIM(AS78)="", "", IF(VLOOKUP(AS78,'Footnotes list'!$D$9:$E$58,2,FALSE)=0,"",VLOOKUP(AS78,'Footnotes list'!$D$9:$E$58,2,FALSE) ) )</f>
        <v/>
      </c>
      <c r="AU78" s="403" t="str">
        <f>IF(AND(TRIM(G78)="",TRIM(L78)="",TRIM(AA78)="",TRIM(AP78)=""),"",SUM(G78,L78,AA78,AP78))</f>
        <v/>
      </c>
      <c r="AV78" s="379"/>
      <c r="AW78" s="380"/>
      <c r="AX78" s="381"/>
      <c r="AY78" s="377" t="str">
        <f>IF(TRIM(AX78)="", "", IF(VLOOKUP(AX78,'Footnotes list'!$D$9:$E$58,2,FALSE)=0,"",VLOOKUP(AX78,'Footnotes list'!$D$9:$E$58,2,FALSE) ) )</f>
        <v/>
      </c>
    </row>
    <row r="79" spans="2:51" ht="15" customHeight="1" thickBot="1" x14ac:dyDescent="0.4">
      <c r="B79" s="536"/>
      <c r="C79" s="53" t="s">
        <v>133</v>
      </c>
      <c r="D79" s="530"/>
      <c r="E79" s="47" t="s">
        <v>146</v>
      </c>
      <c r="F79" s="54" t="s">
        <v>234</v>
      </c>
      <c r="G79" s="126" t="str">
        <f>IF(AND(TRIM(G77)="",TRIM(G78)=""),"",G77+G78)</f>
        <v/>
      </c>
      <c r="H79" s="379"/>
      <c r="I79" s="380"/>
      <c r="J79" s="381"/>
      <c r="K79" s="377" t="str">
        <f>IF(TRIM(J79)="", "", IF(VLOOKUP(J79,'Footnotes list'!$D$9:$E$58,2,FALSE)=0,"",VLOOKUP(J79,'Footnotes list'!$D$9:$E$58,2,FALSE) ) )</f>
        <v/>
      </c>
      <c r="L79" s="126" t="str">
        <f>IF(AND(TRIM(L77)="",TRIM(L78)=""),"",L77+L78)</f>
        <v/>
      </c>
      <c r="M79" s="379"/>
      <c r="N79" s="380"/>
      <c r="O79" s="381"/>
      <c r="P79" s="377" t="str">
        <f>IF(TRIM(O79)="", "", IF(VLOOKUP(O79,'Footnotes list'!$D$9:$E$58,2,FALSE)=0,"",VLOOKUP(O79,'Footnotes list'!$D$9:$E$58,2,FALSE) ) )</f>
        <v/>
      </c>
      <c r="Q79" s="126" t="str">
        <f>IF(AND(TRIM(Q77)="",TRIM(Q78)=""),"",Q77+Q78)</f>
        <v/>
      </c>
      <c r="R79" s="379"/>
      <c r="S79" s="380"/>
      <c r="T79" s="381"/>
      <c r="U79" s="377" t="str">
        <f>IF(TRIM(T79)="", "", IF(VLOOKUP(T79,'Footnotes list'!$D$9:$E$58,2,FALSE)=0,"",VLOOKUP(T79,'Footnotes list'!$D$9:$E$58,2,FALSE) ) )</f>
        <v/>
      </c>
      <c r="V79" s="126" t="str">
        <f>IF(AND(TRIM(V77)="",TRIM(V78)=""),"",V77+V78)</f>
        <v/>
      </c>
      <c r="W79" s="379"/>
      <c r="X79" s="380"/>
      <c r="Y79" s="381"/>
      <c r="Z79" s="377" t="str">
        <f>IF(TRIM(Y79)="", "", IF(VLOOKUP(Y79,'Footnotes list'!$D$9:$E$58,2,FALSE)=0,"",VLOOKUP(Y79,'Footnotes list'!$D$9:$E$58,2,FALSE) ) )</f>
        <v/>
      </c>
      <c r="AA79" s="126" t="str">
        <f>IF(AND(TRIM(AA77)="", TRIM(AA78)=""), "", SUM(AA77,AA78))</f>
        <v/>
      </c>
      <c r="AB79" s="379"/>
      <c r="AC79" s="380"/>
      <c r="AD79" s="381"/>
      <c r="AE79" s="377" t="str">
        <f>IF(TRIM(AD79)="", "", IF(VLOOKUP(AD79,'Footnotes list'!$D$9:$E$58,2,FALSE)=0,"",VLOOKUP(AD79,'Footnotes list'!$D$9:$E$58,2,FALSE) ) )</f>
        <v/>
      </c>
      <c r="AF79" s="126" t="str">
        <f>IF(AND(TRIM(AF77)="",TRIM(AF78)=""),"",AF77+AF78)</f>
        <v/>
      </c>
      <c r="AG79" s="379"/>
      <c r="AH79" s="380"/>
      <c r="AI79" s="381"/>
      <c r="AJ79" s="377" t="str">
        <f>IF(TRIM(AI79)="", "", IF(VLOOKUP(AI79,'Footnotes list'!$D$9:$E$58,2,FALSE)=0,"",VLOOKUP(AI79,'Footnotes list'!$D$9:$E$58,2,FALSE) ) )</f>
        <v/>
      </c>
      <c r="AK79" s="126" t="str">
        <f>IF(AND(TRIM(AK77)="",TRIM(AK78)=""),"",AK77+AK78)</f>
        <v/>
      </c>
      <c r="AL79" s="379"/>
      <c r="AM79" s="380"/>
      <c r="AN79" s="381"/>
      <c r="AO79" s="377" t="str">
        <f>IF(TRIM(AN79)="", "", IF(VLOOKUP(AN79,'Footnotes list'!$D$9:$E$58,2,FALSE)=0,"",VLOOKUP(AN79,'Footnotes list'!$D$9:$E$58,2,FALSE) ) )</f>
        <v/>
      </c>
      <c r="AP79" s="126" t="str">
        <f>IF(AND(TRIM(AP77)="", TRIM(AP78)=""), "", SUM(AP77,AP78))</f>
        <v/>
      </c>
      <c r="AQ79" s="379"/>
      <c r="AR79" s="380"/>
      <c r="AS79" s="381"/>
      <c r="AT79" s="377" t="str">
        <f>IF(TRIM(AS79)="", "", IF(VLOOKUP(AS79,'Footnotes list'!$D$9:$E$58,2,FALSE)=0,"",VLOOKUP(AS79,'Footnotes list'!$D$9:$E$58,2,FALSE) ) )</f>
        <v/>
      </c>
      <c r="AU79" s="126" t="str">
        <f>IF(AND(TRIM(AU77)="", TRIM(AU78)=""), "", SUM(AU77,AU78) )</f>
        <v/>
      </c>
      <c r="AV79" s="379"/>
      <c r="AW79" s="380"/>
      <c r="AX79" s="381"/>
      <c r="AY79" s="377" t="str">
        <f>IF(TRIM(AX79)="", "", IF(VLOOKUP(AX79,'Footnotes list'!$D$9:$E$58,2,FALSE)=0,"",VLOOKUP(AX79,'Footnotes list'!$D$9:$E$58,2,FALSE) ) )</f>
        <v/>
      </c>
    </row>
    <row r="80" spans="2:51" ht="15" customHeight="1" x14ac:dyDescent="0.35">
      <c r="B80" s="534" t="s">
        <v>134</v>
      </c>
      <c r="C80" s="41" t="s">
        <v>134</v>
      </c>
      <c r="D80" s="528" t="s">
        <v>99</v>
      </c>
      <c r="E80" s="42" t="s">
        <v>144</v>
      </c>
      <c r="F80" s="43" t="s">
        <v>151</v>
      </c>
      <c r="G80" s="372"/>
      <c r="H80" s="373"/>
      <c r="I80" s="374"/>
      <c r="J80" s="375"/>
      <c r="K80" s="376" t="str">
        <f>IF(TRIM(J80)="", "", IF(VLOOKUP(J80,'Footnotes list'!$D$9:$E$58,2,FALSE)=0,"",VLOOKUP(J80,'Footnotes list'!$D$9:$E$58,2,FALSE) ) )</f>
        <v/>
      </c>
      <c r="L80" s="372"/>
      <c r="M80" s="373"/>
      <c r="N80" s="374"/>
      <c r="O80" s="375"/>
      <c r="P80" s="376" t="str">
        <f>IF(TRIM(O80)="", "", IF(VLOOKUP(O80,'Footnotes list'!$D$9:$E$58,2,FALSE)=0,"",VLOOKUP(O80,'Footnotes list'!$D$9:$E$58,2,FALSE) ) )</f>
        <v/>
      </c>
      <c r="Q80" s="372"/>
      <c r="R80" s="373"/>
      <c r="S80" s="374"/>
      <c r="T80" s="375"/>
      <c r="U80" s="376" t="str">
        <f>IF(TRIM(T80)="", "", IF(VLOOKUP(T80,'Footnotes list'!$D$9:$E$58,2,FALSE)=0,"",VLOOKUP(T80,'Footnotes list'!$D$9:$E$58,2,FALSE) ) )</f>
        <v/>
      </c>
      <c r="V80" s="372"/>
      <c r="W80" s="373"/>
      <c r="X80" s="374"/>
      <c r="Y80" s="375"/>
      <c r="Z80" s="376" t="str">
        <f>IF(TRIM(Y80)="", "", IF(VLOOKUP(Y80,'Footnotes list'!$D$9:$E$58,2,FALSE)=0,"",VLOOKUP(Y80,'Footnotes list'!$D$9:$E$58,2,FALSE) ) )</f>
        <v/>
      </c>
      <c r="AA80" s="382" t="str">
        <f>IF(AND(TRIM(Q80)="",TRIM(V80)=""),"",Q80+V80)</f>
        <v/>
      </c>
      <c r="AB80" s="373"/>
      <c r="AC80" s="374"/>
      <c r="AD80" s="375"/>
      <c r="AE80" s="376" t="str">
        <f>IF(TRIM(AD80)="", "", IF(VLOOKUP(AD80,'Footnotes list'!$D$9:$E$58,2,FALSE)=0,"",VLOOKUP(AD80,'Footnotes list'!$D$9:$E$58,2,FALSE) ) )</f>
        <v/>
      </c>
      <c r="AF80" s="372"/>
      <c r="AG80" s="373"/>
      <c r="AH80" s="374"/>
      <c r="AI80" s="375"/>
      <c r="AJ80" s="376" t="str">
        <f>IF(TRIM(AI80)="", "", IF(VLOOKUP(AI80,'Footnotes list'!$D$9:$E$58,2,FALSE)=0,"",VLOOKUP(AI80,'Footnotes list'!$D$9:$E$58,2,FALSE) ) )</f>
        <v/>
      </c>
      <c r="AK80" s="372"/>
      <c r="AL80" s="373"/>
      <c r="AM80" s="374"/>
      <c r="AN80" s="375"/>
      <c r="AO80" s="376" t="str">
        <f>IF(TRIM(AN80)="", "", IF(VLOOKUP(AN80,'Footnotes list'!$D$9:$E$58,2,FALSE)=0,"",VLOOKUP(AN80,'Footnotes list'!$D$9:$E$58,2,FALSE) ) )</f>
        <v/>
      </c>
      <c r="AP80" s="382" t="str">
        <f>IF(AND(TRIM(AF80)="",TRIM(AK80)=""),"",AF80+AK80)</f>
        <v/>
      </c>
      <c r="AQ80" s="373"/>
      <c r="AR80" s="374"/>
      <c r="AS80" s="375"/>
      <c r="AT80" s="376" t="str">
        <f>IF(TRIM(AS80)="", "", IF(VLOOKUP(AS80,'Footnotes list'!$D$9:$E$58,2,FALSE)=0,"",VLOOKUP(AS80,'Footnotes list'!$D$9:$E$58,2,FALSE) ) )</f>
        <v/>
      </c>
      <c r="AU80" s="382" t="str">
        <f>IF(AND(TRIM(G80)="",TRIM(L80)="",TRIM(AA80)="",TRIM(AP80)=""),"",SUM(G80,L80,AA80,AP80))</f>
        <v/>
      </c>
      <c r="AV80" s="373"/>
      <c r="AW80" s="374"/>
      <c r="AX80" s="375"/>
      <c r="AY80" s="376" t="str">
        <f>IF(TRIM(AX80)="", "", IF(VLOOKUP(AX80,'Footnotes list'!$D$9:$E$58,2,FALSE)=0,"",VLOOKUP(AX80,'Footnotes list'!$D$9:$E$58,2,FALSE) ) )</f>
        <v/>
      </c>
    </row>
    <row r="81" spans="2:51" ht="15" customHeight="1" x14ac:dyDescent="0.35">
      <c r="B81" s="535"/>
      <c r="C81" s="50" t="s">
        <v>134</v>
      </c>
      <c r="D81" s="529"/>
      <c r="E81" s="51" t="s">
        <v>145</v>
      </c>
      <c r="F81" s="52" t="s">
        <v>152</v>
      </c>
      <c r="G81" s="378"/>
      <c r="H81" s="379"/>
      <c r="I81" s="380"/>
      <c r="J81" s="381"/>
      <c r="K81" s="377" t="str">
        <f>IF(TRIM(J81)="", "", IF(VLOOKUP(J81,'Footnotes list'!$D$9:$E$58,2,FALSE)=0,"",VLOOKUP(J81,'Footnotes list'!$D$9:$E$58,2,FALSE) ) )</f>
        <v/>
      </c>
      <c r="L81" s="378"/>
      <c r="M81" s="379"/>
      <c r="N81" s="380"/>
      <c r="O81" s="381"/>
      <c r="P81" s="377" t="str">
        <f>IF(TRIM(O81)="", "", IF(VLOOKUP(O81,'Footnotes list'!$D$9:$E$58,2,FALSE)=0,"",VLOOKUP(O81,'Footnotes list'!$D$9:$E$58,2,FALSE) ) )</f>
        <v/>
      </c>
      <c r="Q81" s="378"/>
      <c r="R81" s="379"/>
      <c r="S81" s="380"/>
      <c r="T81" s="381"/>
      <c r="U81" s="377" t="str">
        <f>IF(TRIM(T81)="", "", IF(VLOOKUP(T81,'Footnotes list'!$D$9:$E$58,2,FALSE)=0,"",VLOOKUP(T81,'Footnotes list'!$D$9:$E$58,2,FALSE) ) )</f>
        <v/>
      </c>
      <c r="V81" s="378"/>
      <c r="W81" s="379"/>
      <c r="X81" s="380"/>
      <c r="Y81" s="381"/>
      <c r="Z81" s="377" t="str">
        <f>IF(TRIM(Y81)="", "", IF(VLOOKUP(Y81,'Footnotes list'!$D$9:$E$58,2,FALSE)=0,"",VLOOKUP(Y81,'Footnotes list'!$D$9:$E$58,2,FALSE) ) )</f>
        <v/>
      </c>
      <c r="AA81" s="129" t="str">
        <f>IF(AND(TRIM(Q81)="",TRIM(V81)=""),"",Q81+V81)</f>
        <v/>
      </c>
      <c r="AB81" s="379"/>
      <c r="AC81" s="380"/>
      <c r="AD81" s="381"/>
      <c r="AE81" s="377" t="str">
        <f>IF(TRIM(AD81)="", "", IF(VLOOKUP(AD81,'Footnotes list'!$D$9:$E$58,2,FALSE)=0,"",VLOOKUP(AD81,'Footnotes list'!$D$9:$E$58,2,FALSE) ) )</f>
        <v/>
      </c>
      <c r="AF81" s="378"/>
      <c r="AG81" s="379"/>
      <c r="AH81" s="380"/>
      <c r="AI81" s="381"/>
      <c r="AJ81" s="377" t="str">
        <f>IF(TRIM(AI81)="", "", IF(VLOOKUP(AI81,'Footnotes list'!$D$9:$E$58,2,FALSE)=0,"",VLOOKUP(AI81,'Footnotes list'!$D$9:$E$58,2,FALSE) ) )</f>
        <v/>
      </c>
      <c r="AK81" s="378"/>
      <c r="AL81" s="379"/>
      <c r="AM81" s="380"/>
      <c r="AN81" s="381"/>
      <c r="AO81" s="377" t="str">
        <f>IF(TRIM(AN81)="", "", IF(VLOOKUP(AN81,'Footnotes list'!$D$9:$E$58,2,FALSE)=0,"",VLOOKUP(AN81,'Footnotes list'!$D$9:$E$58,2,FALSE) ) )</f>
        <v/>
      </c>
      <c r="AP81" s="129" t="str">
        <f>IF(AND(TRIM(AF81)="",TRIM(AK81)=""),"",AF81+AK81)</f>
        <v/>
      </c>
      <c r="AQ81" s="379"/>
      <c r="AR81" s="380"/>
      <c r="AS81" s="381"/>
      <c r="AT81" s="377" t="str">
        <f>IF(TRIM(AS81)="", "", IF(VLOOKUP(AS81,'Footnotes list'!$D$9:$E$58,2,FALSE)=0,"",VLOOKUP(AS81,'Footnotes list'!$D$9:$E$58,2,FALSE) ) )</f>
        <v/>
      </c>
      <c r="AU81" s="403" t="str">
        <f>IF(AND(TRIM(G81)="",TRIM(L81)="",TRIM(AA81)="",TRIM(AP81)=""),"",SUM(G81,L81,AA81,AP81))</f>
        <v/>
      </c>
      <c r="AV81" s="379"/>
      <c r="AW81" s="380"/>
      <c r="AX81" s="381"/>
      <c r="AY81" s="377" t="str">
        <f>IF(TRIM(AX81)="", "", IF(VLOOKUP(AX81,'Footnotes list'!$D$9:$E$58,2,FALSE)=0,"",VLOOKUP(AX81,'Footnotes list'!$D$9:$E$58,2,FALSE) ) )</f>
        <v/>
      </c>
    </row>
    <row r="82" spans="2:51" ht="15" customHeight="1" thickBot="1" x14ac:dyDescent="0.4">
      <c r="B82" s="536"/>
      <c r="C82" s="53" t="s">
        <v>134</v>
      </c>
      <c r="D82" s="530"/>
      <c r="E82" s="47" t="s">
        <v>146</v>
      </c>
      <c r="F82" s="54" t="s">
        <v>234</v>
      </c>
      <c r="G82" s="126" t="str">
        <f>IF(AND(TRIM(G80)="",TRIM(G81)=""),"",G80+G81)</f>
        <v/>
      </c>
      <c r="H82" s="379"/>
      <c r="I82" s="380"/>
      <c r="J82" s="381"/>
      <c r="K82" s="377" t="str">
        <f>IF(TRIM(J82)="", "", IF(VLOOKUP(J82,'Footnotes list'!$D$9:$E$58,2,FALSE)=0,"",VLOOKUP(J82,'Footnotes list'!$D$9:$E$58,2,FALSE) ) )</f>
        <v/>
      </c>
      <c r="L82" s="126" t="str">
        <f>IF(AND(TRIM(L80)="",TRIM(L81)=""),"",L80+L81)</f>
        <v/>
      </c>
      <c r="M82" s="379"/>
      <c r="N82" s="380"/>
      <c r="O82" s="381"/>
      <c r="P82" s="377" t="str">
        <f>IF(TRIM(O82)="", "", IF(VLOOKUP(O82,'Footnotes list'!$D$9:$E$58,2,FALSE)=0,"",VLOOKUP(O82,'Footnotes list'!$D$9:$E$58,2,FALSE) ) )</f>
        <v/>
      </c>
      <c r="Q82" s="126" t="str">
        <f>IF(AND(TRIM(Q80)="",TRIM(Q81)=""),"",Q80+Q81)</f>
        <v/>
      </c>
      <c r="R82" s="379"/>
      <c r="S82" s="380"/>
      <c r="T82" s="381"/>
      <c r="U82" s="377" t="str">
        <f>IF(TRIM(T82)="", "", IF(VLOOKUP(T82,'Footnotes list'!$D$9:$E$58,2,FALSE)=0,"",VLOOKUP(T82,'Footnotes list'!$D$9:$E$58,2,FALSE) ) )</f>
        <v/>
      </c>
      <c r="V82" s="126" t="str">
        <f>IF(AND(TRIM(V80)="",TRIM(V81)=""),"",V80+V81)</f>
        <v/>
      </c>
      <c r="W82" s="379"/>
      <c r="X82" s="380"/>
      <c r="Y82" s="381"/>
      <c r="Z82" s="377" t="str">
        <f>IF(TRIM(Y82)="", "", IF(VLOOKUP(Y82,'Footnotes list'!$D$9:$E$58,2,FALSE)=0,"",VLOOKUP(Y82,'Footnotes list'!$D$9:$E$58,2,FALSE) ) )</f>
        <v/>
      </c>
      <c r="AA82" s="126" t="str">
        <f>IF(AND(TRIM(AA80)="", TRIM(AA81)=""), "", SUM(AA80,AA81))</f>
        <v/>
      </c>
      <c r="AB82" s="379"/>
      <c r="AC82" s="380"/>
      <c r="AD82" s="381"/>
      <c r="AE82" s="377" t="str">
        <f>IF(TRIM(AD82)="", "", IF(VLOOKUP(AD82,'Footnotes list'!$D$9:$E$58,2,FALSE)=0,"",VLOOKUP(AD82,'Footnotes list'!$D$9:$E$58,2,FALSE) ) )</f>
        <v/>
      </c>
      <c r="AF82" s="126" t="str">
        <f>IF(AND(TRIM(AF80)="",TRIM(AF81)=""),"",AF80+AF81)</f>
        <v/>
      </c>
      <c r="AG82" s="379"/>
      <c r="AH82" s="380"/>
      <c r="AI82" s="381"/>
      <c r="AJ82" s="377" t="str">
        <f>IF(TRIM(AI82)="", "", IF(VLOOKUP(AI82,'Footnotes list'!$D$9:$E$58,2,FALSE)=0,"",VLOOKUP(AI82,'Footnotes list'!$D$9:$E$58,2,FALSE) ) )</f>
        <v/>
      </c>
      <c r="AK82" s="126" t="str">
        <f>IF(AND(TRIM(AK80)="",TRIM(AK81)=""),"",AK80+AK81)</f>
        <v/>
      </c>
      <c r="AL82" s="379"/>
      <c r="AM82" s="380"/>
      <c r="AN82" s="381"/>
      <c r="AO82" s="377" t="str">
        <f>IF(TRIM(AN82)="", "", IF(VLOOKUP(AN82,'Footnotes list'!$D$9:$E$58,2,FALSE)=0,"",VLOOKUP(AN82,'Footnotes list'!$D$9:$E$58,2,FALSE) ) )</f>
        <v/>
      </c>
      <c r="AP82" s="126" t="str">
        <f>IF(AND(TRIM(AP80)="", TRIM(AP81)=""), "", SUM(AP80,AP81))</f>
        <v/>
      </c>
      <c r="AQ82" s="379"/>
      <c r="AR82" s="380"/>
      <c r="AS82" s="381"/>
      <c r="AT82" s="377" t="str">
        <f>IF(TRIM(AS82)="", "", IF(VLOOKUP(AS82,'Footnotes list'!$D$9:$E$58,2,FALSE)=0,"",VLOOKUP(AS82,'Footnotes list'!$D$9:$E$58,2,FALSE) ) )</f>
        <v/>
      </c>
      <c r="AU82" s="126" t="str">
        <f>IF(AND(TRIM(AU80)="", TRIM(AU81)=""), "", SUM(AU80,AU81) )</f>
        <v/>
      </c>
      <c r="AV82" s="379"/>
      <c r="AW82" s="380"/>
      <c r="AX82" s="381"/>
      <c r="AY82" s="377" t="str">
        <f>IF(TRIM(AX82)="", "", IF(VLOOKUP(AX82,'Footnotes list'!$D$9:$E$58,2,FALSE)=0,"",VLOOKUP(AX82,'Footnotes list'!$D$9:$E$58,2,FALSE) ) )</f>
        <v/>
      </c>
    </row>
    <row r="83" spans="2:51" ht="15" customHeight="1" x14ac:dyDescent="0.35">
      <c r="B83" s="534" t="s">
        <v>135</v>
      </c>
      <c r="C83" s="41" t="s">
        <v>135</v>
      </c>
      <c r="D83" s="528" t="s">
        <v>100</v>
      </c>
      <c r="E83" s="42" t="s">
        <v>144</v>
      </c>
      <c r="F83" s="43" t="s">
        <v>151</v>
      </c>
      <c r="G83" s="372"/>
      <c r="H83" s="373"/>
      <c r="I83" s="374"/>
      <c r="J83" s="375"/>
      <c r="K83" s="376" t="str">
        <f>IF(TRIM(J83)="", "", IF(VLOOKUP(J83,'Footnotes list'!$D$9:$E$58,2,FALSE)=0,"",VLOOKUP(J83,'Footnotes list'!$D$9:$E$58,2,FALSE) ) )</f>
        <v/>
      </c>
      <c r="L83" s="372"/>
      <c r="M83" s="373"/>
      <c r="N83" s="374"/>
      <c r="O83" s="375"/>
      <c r="P83" s="376" t="str">
        <f>IF(TRIM(O83)="", "", IF(VLOOKUP(O83,'Footnotes list'!$D$9:$E$58,2,FALSE)=0,"",VLOOKUP(O83,'Footnotes list'!$D$9:$E$58,2,FALSE) ) )</f>
        <v/>
      </c>
      <c r="Q83" s="372"/>
      <c r="R83" s="373"/>
      <c r="S83" s="374"/>
      <c r="T83" s="375"/>
      <c r="U83" s="376" t="str">
        <f>IF(TRIM(T83)="", "", IF(VLOOKUP(T83,'Footnotes list'!$D$9:$E$58,2,FALSE)=0,"",VLOOKUP(T83,'Footnotes list'!$D$9:$E$58,2,FALSE) ) )</f>
        <v/>
      </c>
      <c r="V83" s="372"/>
      <c r="W83" s="373"/>
      <c r="X83" s="374"/>
      <c r="Y83" s="375"/>
      <c r="Z83" s="376" t="str">
        <f>IF(TRIM(Y83)="", "", IF(VLOOKUP(Y83,'Footnotes list'!$D$9:$E$58,2,FALSE)=0,"",VLOOKUP(Y83,'Footnotes list'!$D$9:$E$58,2,FALSE) ) )</f>
        <v/>
      </c>
      <c r="AA83" s="382" t="str">
        <f>IF(AND(TRIM(Q83)="",TRIM(V83)=""),"",Q83+V83)</f>
        <v/>
      </c>
      <c r="AB83" s="373"/>
      <c r="AC83" s="374"/>
      <c r="AD83" s="375"/>
      <c r="AE83" s="376" t="str">
        <f>IF(TRIM(AD83)="", "", IF(VLOOKUP(AD83,'Footnotes list'!$D$9:$E$58,2,FALSE)=0,"",VLOOKUP(AD83,'Footnotes list'!$D$9:$E$58,2,FALSE) ) )</f>
        <v/>
      </c>
      <c r="AF83" s="372"/>
      <c r="AG83" s="373"/>
      <c r="AH83" s="374"/>
      <c r="AI83" s="375"/>
      <c r="AJ83" s="376" t="str">
        <f>IF(TRIM(AI83)="", "", IF(VLOOKUP(AI83,'Footnotes list'!$D$9:$E$58,2,FALSE)=0,"",VLOOKUP(AI83,'Footnotes list'!$D$9:$E$58,2,FALSE) ) )</f>
        <v/>
      </c>
      <c r="AK83" s="372"/>
      <c r="AL83" s="373"/>
      <c r="AM83" s="374"/>
      <c r="AN83" s="375"/>
      <c r="AO83" s="376" t="str">
        <f>IF(TRIM(AN83)="", "", IF(VLOOKUP(AN83,'Footnotes list'!$D$9:$E$58,2,FALSE)=0,"",VLOOKUP(AN83,'Footnotes list'!$D$9:$E$58,2,FALSE) ) )</f>
        <v/>
      </c>
      <c r="AP83" s="382" t="str">
        <f>IF(AND(TRIM(AF83)="",TRIM(AK83)=""),"",AF83+AK83)</f>
        <v/>
      </c>
      <c r="AQ83" s="373"/>
      <c r="AR83" s="374"/>
      <c r="AS83" s="375"/>
      <c r="AT83" s="376" t="str">
        <f>IF(TRIM(AS83)="", "", IF(VLOOKUP(AS83,'Footnotes list'!$D$9:$E$58,2,FALSE)=0,"",VLOOKUP(AS83,'Footnotes list'!$D$9:$E$58,2,FALSE) ) )</f>
        <v/>
      </c>
      <c r="AU83" s="382" t="str">
        <f>IF(AND(TRIM(G83)="",TRIM(L83)="",TRIM(AA83)="",TRIM(AP83)=""),"",SUM(G83,L83,AA83,AP83))</f>
        <v/>
      </c>
      <c r="AV83" s="373"/>
      <c r="AW83" s="374"/>
      <c r="AX83" s="375"/>
      <c r="AY83" s="376" t="str">
        <f>IF(TRIM(AX83)="", "", IF(VLOOKUP(AX83,'Footnotes list'!$D$9:$E$58,2,FALSE)=0,"",VLOOKUP(AX83,'Footnotes list'!$D$9:$E$58,2,FALSE) ) )</f>
        <v/>
      </c>
    </row>
    <row r="84" spans="2:51" ht="15" customHeight="1" x14ac:dyDescent="0.35">
      <c r="B84" s="535"/>
      <c r="C84" s="50" t="s">
        <v>135</v>
      </c>
      <c r="D84" s="529"/>
      <c r="E84" s="51" t="s">
        <v>145</v>
      </c>
      <c r="F84" s="52" t="s">
        <v>152</v>
      </c>
      <c r="G84" s="378"/>
      <c r="H84" s="379"/>
      <c r="I84" s="380"/>
      <c r="J84" s="381"/>
      <c r="K84" s="377" t="str">
        <f>IF(TRIM(J84)="", "", IF(VLOOKUP(J84,'Footnotes list'!$D$9:$E$58,2,FALSE)=0,"",VLOOKUP(J84,'Footnotes list'!$D$9:$E$58,2,FALSE) ) )</f>
        <v/>
      </c>
      <c r="L84" s="378"/>
      <c r="M84" s="379"/>
      <c r="N84" s="380"/>
      <c r="O84" s="381"/>
      <c r="P84" s="377" t="str">
        <f>IF(TRIM(O84)="", "", IF(VLOOKUP(O84,'Footnotes list'!$D$9:$E$58,2,FALSE)=0,"",VLOOKUP(O84,'Footnotes list'!$D$9:$E$58,2,FALSE) ) )</f>
        <v/>
      </c>
      <c r="Q84" s="378"/>
      <c r="R84" s="379"/>
      <c r="S84" s="380"/>
      <c r="T84" s="381"/>
      <c r="U84" s="377" t="str">
        <f>IF(TRIM(T84)="", "", IF(VLOOKUP(T84,'Footnotes list'!$D$9:$E$58,2,FALSE)=0,"",VLOOKUP(T84,'Footnotes list'!$D$9:$E$58,2,FALSE) ) )</f>
        <v/>
      </c>
      <c r="V84" s="378"/>
      <c r="W84" s="379"/>
      <c r="X84" s="380"/>
      <c r="Y84" s="381"/>
      <c r="Z84" s="377" t="str">
        <f>IF(TRIM(Y84)="", "", IF(VLOOKUP(Y84,'Footnotes list'!$D$9:$E$58,2,FALSE)=0,"",VLOOKUP(Y84,'Footnotes list'!$D$9:$E$58,2,FALSE) ) )</f>
        <v/>
      </c>
      <c r="AA84" s="129" t="str">
        <f>IF(AND(TRIM(Q84)="",TRIM(V84)=""),"",Q84+V84)</f>
        <v/>
      </c>
      <c r="AB84" s="379"/>
      <c r="AC84" s="380"/>
      <c r="AD84" s="381"/>
      <c r="AE84" s="377" t="str">
        <f>IF(TRIM(AD84)="", "", IF(VLOOKUP(AD84,'Footnotes list'!$D$9:$E$58,2,FALSE)=0,"",VLOOKUP(AD84,'Footnotes list'!$D$9:$E$58,2,FALSE) ) )</f>
        <v/>
      </c>
      <c r="AF84" s="378"/>
      <c r="AG84" s="379"/>
      <c r="AH84" s="380"/>
      <c r="AI84" s="381"/>
      <c r="AJ84" s="377" t="str">
        <f>IF(TRIM(AI84)="", "", IF(VLOOKUP(AI84,'Footnotes list'!$D$9:$E$58,2,FALSE)=0,"",VLOOKUP(AI84,'Footnotes list'!$D$9:$E$58,2,FALSE) ) )</f>
        <v/>
      </c>
      <c r="AK84" s="378"/>
      <c r="AL84" s="379"/>
      <c r="AM84" s="380"/>
      <c r="AN84" s="381"/>
      <c r="AO84" s="377" t="str">
        <f>IF(TRIM(AN84)="", "", IF(VLOOKUP(AN84,'Footnotes list'!$D$9:$E$58,2,FALSE)=0,"",VLOOKUP(AN84,'Footnotes list'!$D$9:$E$58,2,FALSE) ) )</f>
        <v/>
      </c>
      <c r="AP84" s="129" t="str">
        <f>IF(AND(TRIM(AF84)="",TRIM(AK84)=""),"",AF84+AK84)</f>
        <v/>
      </c>
      <c r="AQ84" s="379"/>
      <c r="AR84" s="380"/>
      <c r="AS84" s="381"/>
      <c r="AT84" s="377" t="str">
        <f>IF(TRIM(AS84)="", "", IF(VLOOKUP(AS84,'Footnotes list'!$D$9:$E$58,2,FALSE)=0,"",VLOOKUP(AS84,'Footnotes list'!$D$9:$E$58,2,FALSE) ) )</f>
        <v/>
      </c>
      <c r="AU84" s="403" t="str">
        <f>IF(AND(TRIM(G84)="",TRIM(L84)="",TRIM(AA84)="",TRIM(AP84)=""),"",SUM(G84,L84,AA84,AP84))</f>
        <v/>
      </c>
      <c r="AV84" s="379"/>
      <c r="AW84" s="380"/>
      <c r="AX84" s="381"/>
      <c r="AY84" s="377" t="str">
        <f>IF(TRIM(AX84)="", "", IF(VLOOKUP(AX84,'Footnotes list'!$D$9:$E$58,2,FALSE)=0,"",VLOOKUP(AX84,'Footnotes list'!$D$9:$E$58,2,FALSE) ) )</f>
        <v/>
      </c>
    </row>
    <row r="85" spans="2:51" ht="15" customHeight="1" thickBot="1" x14ac:dyDescent="0.4">
      <c r="B85" s="536"/>
      <c r="C85" s="53" t="s">
        <v>135</v>
      </c>
      <c r="D85" s="530"/>
      <c r="E85" s="47" t="s">
        <v>146</v>
      </c>
      <c r="F85" s="54" t="s">
        <v>234</v>
      </c>
      <c r="G85" s="126" t="str">
        <f>IF(AND(TRIM(G83)="",TRIM(G84)=""),"",G83+G84)</f>
        <v/>
      </c>
      <c r="H85" s="379"/>
      <c r="I85" s="380"/>
      <c r="J85" s="381"/>
      <c r="K85" s="377" t="str">
        <f>IF(TRIM(J85)="", "", IF(VLOOKUP(J85,'Footnotes list'!$D$9:$E$58,2,FALSE)=0,"",VLOOKUP(J85,'Footnotes list'!$D$9:$E$58,2,FALSE) ) )</f>
        <v/>
      </c>
      <c r="L85" s="126" t="str">
        <f>IF(AND(TRIM(L83)="",TRIM(L84)=""),"",L83+L84)</f>
        <v/>
      </c>
      <c r="M85" s="379"/>
      <c r="N85" s="380"/>
      <c r="O85" s="381"/>
      <c r="P85" s="377" t="str">
        <f>IF(TRIM(O85)="", "", IF(VLOOKUP(O85,'Footnotes list'!$D$9:$E$58,2,FALSE)=0,"",VLOOKUP(O85,'Footnotes list'!$D$9:$E$58,2,FALSE) ) )</f>
        <v/>
      </c>
      <c r="Q85" s="126" t="str">
        <f>IF(AND(TRIM(Q83)="",TRIM(Q84)=""),"",Q83+Q84)</f>
        <v/>
      </c>
      <c r="R85" s="379"/>
      <c r="S85" s="380"/>
      <c r="T85" s="381"/>
      <c r="U85" s="377" t="str">
        <f>IF(TRIM(T85)="", "", IF(VLOOKUP(T85,'Footnotes list'!$D$9:$E$58,2,FALSE)=0,"",VLOOKUP(T85,'Footnotes list'!$D$9:$E$58,2,FALSE) ) )</f>
        <v/>
      </c>
      <c r="V85" s="126" t="str">
        <f>IF(AND(TRIM(V83)="",TRIM(V84)=""),"",V83+V84)</f>
        <v/>
      </c>
      <c r="W85" s="379"/>
      <c r="X85" s="380"/>
      <c r="Y85" s="381"/>
      <c r="Z85" s="377" t="str">
        <f>IF(TRIM(Y85)="", "", IF(VLOOKUP(Y85,'Footnotes list'!$D$9:$E$58,2,FALSE)=0,"",VLOOKUP(Y85,'Footnotes list'!$D$9:$E$58,2,FALSE) ) )</f>
        <v/>
      </c>
      <c r="AA85" s="126" t="str">
        <f>IF(AND(TRIM(AA83)="", TRIM(AA84)=""), "", SUM(AA83,AA84))</f>
        <v/>
      </c>
      <c r="AB85" s="379"/>
      <c r="AC85" s="380"/>
      <c r="AD85" s="381"/>
      <c r="AE85" s="377" t="str">
        <f>IF(TRIM(AD85)="", "", IF(VLOOKUP(AD85,'Footnotes list'!$D$9:$E$58,2,FALSE)=0,"",VLOOKUP(AD85,'Footnotes list'!$D$9:$E$58,2,FALSE) ) )</f>
        <v/>
      </c>
      <c r="AF85" s="126" t="str">
        <f>IF(AND(TRIM(AF83)="",TRIM(AF84)=""),"",AF83+AF84)</f>
        <v/>
      </c>
      <c r="AG85" s="379"/>
      <c r="AH85" s="380"/>
      <c r="AI85" s="381"/>
      <c r="AJ85" s="377" t="str">
        <f>IF(TRIM(AI85)="", "", IF(VLOOKUP(AI85,'Footnotes list'!$D$9:$E$58,2,FALSE)=0,"",VLOOKUP(AI85,'Footnotes list'!$D$9:$E$58,2,FALSE) ) )</f>
        <v/>
      </c>
      <c r="AK85" s="126" t="str">
        <f>IF(AND(TRIM(AK83)="",TRIM(AK84)=""),"",AK83+AK84)</f>
        <v/>
      </c>
      <c r="AL85" s="379"/>
      <c r="AM85" s="380"/>
      <c r="AN85" s="381"/>
      <c r="AO85" s="377" t="str">
        <f>IF(TRIM(AN85)="", "", IF(VLOOKUP(AN85,'Footnotes list'!$D$9:$E$58,2,FALSE)=0,"",VLOOKUP(AN85,'Footnotes list'!$D$9:$E$58,2,FALSE) ) )</f>
        <v/>
      </c>
      <c r="AP85" s="126" t="str">
        <f>IF(AND(TRIM(AP83)="", TRIM(AP84)=""), "", SUM(AP83,AP84))</f>
        <v/>
      </c>
      <c r="AQ85" s="379"/>
      <c r="AR85" s="380"/>
      <c r="AS85" s="381"/>
      <c r="AT85" s="377" t="str">
        <f>IF(TRIM(AS85)="", "", IF(VLOOKUP(AS85,'Footnotes list'!$D$9:$E$58,2,FALSE)=0,"",VLOOKUP(AS85,'Footnotes list'!$D$9:$E$58,2,FALSE) ) )</f>
        <v/>
      </c>
      <c r="AU85" s="126" t="str">
        <f>IF(AND(TRIM(AU83)="", TRIM(AU84)=""), "", SUM(AU83,AU84) )</f>
        <v/>
      </c>
      <c r="AV85" s="379"/>
      <c r="AW85" s="380"/>
      <c r="AX85" s="381"/>
      <c r="AY85" s="377" t="str">
        <f>IF(TRIM(AX85)="", "", IF(VLOOKUP(AX85,'Footnotes list'!$D$9:$E$58,2,FALSE)=0,"",VLOOKUP(AX85,'Footnotes list'!$D$9:$E$58,2,FALSE) ) )</f>
        <v/>
      </c>
    </row>
    <row r="86" spans="2:51" ht="15" customHeight="1" thickBot="1" x14ac:dyDescent="0.4">
      <c r="B86" s="534" t="s">
        <v>136</v>
      </c>
      <c r="C86" s="55"/>
      <c r="D86" s="528" t="s">
        <v>101</v>
      </c>
      <c r="E86" s="55"/>
      <c r="F86" s="45" t="s">
        <v>233</v>
      </c>
      <c r="G86" s="125"/>
      <c r="H86" s="137"/>
      <c r="I86" s="138"/>
      <c r="J86" s="139"/>
      <c r="K86" s="136"/>
      <c r="L86" s="125"/>
      <c r="M86" s="137"/>
      <c r="N86" s="138"/>
      <c r="O86" s="139"/>
      <c r="P86" s="136"/>
      <c r="Q86" s="125"/>
      <c r="R86" s="137"/>
      <c r="S86" s="138"/>
      <c r="T86" s="139"/>
      <c r="U86" s="136"/>
      <c r="V86" s="125"/>
      <c r="W86" s="137"/>
      <c r="X86" s="138"/>
      <c r="Y86" s="139"/>
      <c r="Z86" s="136"/>
      <c r="AA86" s="125"/>
      <c r="AB86" s="137"/>
      <c r="AC86" s="138"/>
      <c r="AD86" s="139"/>
      <c r="AE86" s="136"/>
      <c r="AF86" s="125"/>
      <c r="AG86" s="137"/>
      <c r="AH86" s="138"/>
      <c r="AI86" s="139"/>
      <c r="AJ86" s="136"/>
      <c r="AK86" s="125"/>
      <c r="AL86" s="137"/>
      <c r="AM86" s="138"/>
      <c r="AN86" s="139"/>
      <c r="AO86" s="136"/>
      <c r="AP86" s="125"/>
      <c r="AQ86" s="137"/>
      <c r="AR86" s="138"/>
      <c r="AS86" s="139"/>
      <c r="AT86" s="136"/>
      <c r="AU86" s="125"/>
      <c r="AV86" s="137"/>
      <c r="AW86" s="138"/>
      <c r="AX86" s="139"/>
      <c r="AY86" s="136"/>
    </row>
    <row r="87" spans="2:51" ht="15" customHeight="1" x14ac:dyDescent="0.35">
      <c r="B87" s="535"/>
      <c r="C87" s="50" t="s">
        <v>136</v>
      </c>
      <c r="D87" s="529"/>
      <c r="E87" s="51" t="s">
        <v>145</v>
      </c>
      <c r="F87" s="52" t="s">
        <v>152</v>
      </c>
      <c r="G87" s="378"/>
      <c r="H87" s="379"/>
      <c r="I87" s="380"/>
      <c r="J87" s="381"/>
      <c r="K87" s="377" t="str">
        <f>IF(TRIM(J87)="", "", IF(VLOOKUP(J87,'Footnotes list'!$D$9:$E$58,2,FALSE)=0,"",VLOOKUP(J87,'Footnotes list'!$D$9:$E$58,2,FALSE) ) )</f>
        <v/>
      </c>
      <c r="L87" s="378"/>
      <c r="M87" s="379"/>
      <c r="N87" s="380"/>
      <c r="O87" s="381"/>
      <c r="P87" s="377" t="str">
        <f>IF(TRIM(O87)="", "", IF(VLOOKUP(O87,'Footnotes list'!$D$9:$E$58,2,FALSE)=0,"",VLOOKUP(O87,'Footnotes list'!$D$9:$E$58,2,FALSE) ) )</f>
        <v/>
      </c>
      <c r="Q87" s="378"/>
      <c r="R87" s="379"/>
      <c r="S87" s="380"/>
      <c r="T87" s="381"/>
      <c r="U87" s="377" t="str">
        <f>IF(TRIM(T87)="", "", IF(VLOOKUP(T87,'Footnotes list'!$D$9:$E$58,2,FALSE)=0,"",VLOOKUP(T87,'Footnotes list'!$D$9:$E$58,2,FALSE) ) )</f>
        <v/>
      </c>
      <c r="V87" s="378"/>
      <c r="W87" s="379"/>
      <c r="X87" s="380"/>
      <c r="Y87" s="381"/>
      <c r="Z87" s="377" t="str">
        <f>IF(TRIM(Y87)="", "", IF(VLOOKUP(Y87,'Footnotes list'!$D$9:$E$58,2,FALSE)=0,"",VLOOKUP(Y87,'Footnotes list'!$D$9:$E$58,2,FALSE) ) )</f>
        <v/>
      </c>
      <c r="AA87" s="129" t="str">
        <f>IF(AND(TRIM(Q87)="",TRIM(V87)=""),"",Q87+V87)</f>
        <v/>
      </c>
      <c r="AB87" s="379"/>
      <c r="AC87" s="380"/>
      <c r="AD87" s="381"/>
      <c r="AE87" s="377" t="str">
        <f>IF(TRIM(AD87)="", "", IF(VLOOKUP(AD87,'Footnotes list'!$D$9:$E$58,2,FALSE)=0,"",VLOOKUP(AD87,'Footnotes list'!$D$9:$E$58,2,FALSE) ) )</f>
        <v/>
      </c>
      <c r="AF87" s="378"/>
      <c r="AG87" s="379"/>
      <c r="AH87" s="380"/>
      <c r="AI87" s="381"/>
      <c r="AJ87" s="377" t="str">
        <f>IF(TRIM(AI87)="", "", IF(VLOOKUP(AI87,'Footnotes list'!$D$9:$E$58,2,FALSE)=0,"",VLOOKUP(AI87,'Footnotes list'!$D$9:$E$58,2,FALSE) ) )</f>
        <v/>
      </c>
      <c r="AK87" s="378"/>
      <c r="AL87" s="379"/>
      <c r="AM87" s="380"/>
      <c r="AN87" s="381"/>
      <c r="AO87" s="377" t="str">
        <f>IF(TRIM(AN87)="", "", IF(VLOOKUP(AN87,'Footnotes list'!$D$9:$E$58,2,FALSE)=0,"",VLOOKUP(AN87,'Footnotes list'!$D$9:$E$58,2,FALSE) ) )</f>
        <v/>
      </c>
      <c r="AP87" s="129" t="str">
        <f>IF(AND(TRIM(AF87)="",TRIM(AK87)=""),"",AF87+AK87)</f>
        <v/>
      </c>
      <c r="AQ87" s="379"/>
      <c r="AR87" s="380"/>
      <c r="AS87" s="381"/>
      <c r="AT87" s="377" t="str">
        <f>IF(TRIM(AS87)="", "", IF(VLOOKUP(AS87,'Footnotes list'!$D$9:$E$58,2,FALSE)=0,"",VLOOKUP(AS87,'Footnotes list'!$D$9:$E$58,2,FALSE) ) )</f>
        <v/>
      </c>
      <c r="AU87" s="403" t="str">
        <f>IF(AND(TRIM(G87)="",TRIM(L87)="",TRIM(AA87)="",TRIM(AP87)=""),"",SUM(G87,L87,AA87,AP87))</f>
        <v/>
      </c>
      <c r="AV87" s="379"/>
      <c r="AW87" s="380"/>
      <c r="AX87" s="381"/>
      <c r="AY87" s="377" t="str">
        <f>IF(TRIM(AX87)="", "", IF(VLOOKUP(AX87,'Footnotes list'!$D$9:$E$58,2,FALSE)=0,"",VLOOKUP(AX87,'Footnotes list'!$D$9:$E$58,2,FALSE) ) )</f>
        <v/>
      </c>
    </row>
    <row r="88" spans="2:51" ht="15" customHeight="1" thickBot="1" x14ac:dyDescent="0.4">
      <c r="B88" s="536"/>
      <c r="C88" s="53" t="s">
        <v>136</v>
      </c>
      <c r="D88" s="530"/>
      <c r="E88" s="47" t="s">
        <v>146</v>
      </c>
      <c r="F88" s="54" t="s">
        <v>234</v>
      </c>
      <c r="G88" s="126" t="str">
        <f>IF(AND(TRIM(G86)="",TRIM(G87)=""),"",G86+G87)</f>
        <v/>
      </c>
      <c r="H88" s="379"/>
      <c r="I88" s="380"/>
      <c r="J88" s="381"/>
      <c r="K88" s="377" t="str">
        <f>IF(TRIM(J88)="", "", IF(VLOOKUP(J88,'Footnotes list'!$D$9:$E$58,2,FALSE)=0,"",VLOOKUP(J88,'Footnotes list'!$D$9:$E$58,2,FALSE) ) )</f>
        <v/>
      </c>
      <c r="L88" s="126" t="str">
        <f>IF(AND(TRIM(L86)="",TRIM(L87)=""),"",L86+L87)</f>
        <v/>
      </c>
      <c r="M88" s="379"/>
      <c r="N88" s="380"/>
      <c r="O88" s="381"/>
      <c r="P88" s="377" t="str">
        <f>IF(TRIM(O88)="", "", IF(VLOOKUP(O88,'Footnotes list'!$D$9:$E$58,2,FALSE)=0,"",VLOOKUP(O88,'Footnotes list'!$D$9:$E$58,2,FALSE) ) )</f>
        <v/>
      </c>
      <c r="Q88" s="126" t="str">
        <f>IF(AND(TRIM(Q86)="",TRIM(Q87)=""),"",Q86+Q87)</f>
        <v/>
      </c>
      <c r="R88" s="379"/>
      <c r="S88" s="380"/>
      <c r="T88" s="381"/>
      <c r="U88" s="377" t="str">
        <f>IF(TRIM(T88)="", "", IF(VLOOKUP(T88,'Footnotes list'!$D$9:$E$58,2,FALSE)=0,"",VLOOKUP(T88,'Footnotes list'!$D$9:$E$58,2,FALSE) ) )</f>
        <v/>
      </c>
      <c r="V88" s="126" t="str">
        <f>IF(AND(TRIM(V86)="",TRIM(V87)=""),"",V86+V87)</f>
        <v/>
      </c>
      <c r="W88" s="379"/>
      <c r="X88" s="380"/>
      <c r="Y88" s="381"/>
      <c r="Z88" s="377" t="str">
        <f>IF(TRIM(Y88)="", "", IF(VLOOKUP(Y88,'Footnotes list'!$D$9:$E$58,2,FALSE)=0,"",VLOOKUP(Y88,'Footnotes list'!$D$9:$E$58,2,FALSE) ) )</f>
        <v/>
      </c>
      <c r="AA88" s="126" t="str">
        <f>IF(AND(TRIM(AA86)="", TRIM(AA87)=""), "", SUM(AA86,AA87))</f>
        <v/>
      </c>
      <c r="AB88" s="379"/>
      <c r="AC88" s="380"/>
      <c r="AD88" s="381"/>
      <c r="AE88" s="377" t="str">
        <f>IF(TRIM(AD88)="", "", IF(VLOOKUP(AD88,'Footnotes list'!$D$9:$E$58,2,FALSE)=0,"",VLOOKUP(AD88,'Footnotes list'!$D$9:$E$58,2,FALSE) ) )</f>
        <v/>
      </c>
      <c r="AF88" s="126" t="str">
        <f>IF(AND(TRIM(AF86)="",TRIM(AF87)=""),"",AF86+AF87)</f>
        <v/>
      </c>
      <c r="AG88" s="379"/>
      <c r="AH88" s="380"/>
      <c r="AI88" s="381"/>
      <c r="AJ88" s="377" t="str">
        <f>IF(TRIM(AI88)="", "", IF(VLOOKUP(AI88,'Footnotes list'!$D$9:$E$58,2,FALSE)=0,"",VLOOKUP(AI88,'Footnotes list'!$D$9:$E$58,2,FALSE) ) )</f>
        <v/>
      </c>
      <c r="AK88" s="126" t="str">
        <f>IF(AND(TRIM(AK86)="",TRIM(AK87)=""),"",AK86+AK87)</f>
        <v/>
      </c>
      <c r="AL88" s="379"/>
      <c r="AM88" s="380"/>
      <c r="AN88" s="381"/>
      <c r="AO88" s="377" t="str">
        <f>IF(TRIM(AN88)="", "", IF(VLOOKUP(AN88,'Footnotes list'!$D$9:$E$58,2,FALSE)=0,"",VLOOKUP(AN88,'Footnotes list'!$D$9:$E$58,2,FALSE) ) )</f>
        <v/>
      </c>
      <c r="AP88" s="126" t="str">
        <f>IF(AND(TRIM(AP86)="", TRIM(AP87)=""), "", SUM(AP86,AP87))</f>
        <v/>
      </c>
      <c r="AQ88" s="379"/>
      <c r="AR88" s="380"/>
      <c r="AS88" s="381"/>
      <c r="AT88" s="377" t="str">
        <f>IF(TRIM(AS88)="", "", IF(VLOOKUP(AS88,'Footnotes list'!$D$9:$E$58,2,FALSE)=0,"",VLOOKUP(AS88,'Footnotes list'!$D$9:$E$58,2,FALSE) ) )</f>
        <v/>
      </c>
      <c r="AU88" s="126" t="str">
        <f>IF(AND(TRIM(AU86)="", TRIM(AU87)=""), "", SUM(AU86,AU87) )</f>
        <v/>
      </c>
      <c r="AV88" s="379"/>
      <c r="AW88" s="380"/>
      <c r="AX88" s="381"/>
      <c r="AY88" s="377" t="str">
        <f>IF(TRIM(AX88)="", "", IF(VLOOKUP(AX88,'Footnotes list'!$D$9:$E$58,2,FALSE)=0,"",VLOOKUP(AX88,'Footnotes list'!$D$9:$E$58,2,FALSE) ) )</f>
        <v/>
      </c>
    </row>
    <row r="89" spans="2:51" ht="15" customHeight="1" x14ac:dyDescent="0.35">
      <c r="B89" s="534" t="s">
        <v>137</v>
      </c>
      <c r="C89" s="41" t="s">
        <v>137</v>
      </c>
      <c r="D89" s="528" t="s">
        <v>160</v>
      </c>
      <c r="E89" s="42" t="s">
        <v>144</v>
      </c>
      <c r="F89" s="43" t="s">
        <v>151</v>
      </c>
      <c r="G89" s="372"/>
      <c r="H89" s="373"/>
      <c r="I89" s="374"/>
      <c r="J89" s="375"/>
      <c r="K89" s="376" t="str">
        <f>IF(TRIM(J89)="", "", IF(VLOOKUP(J89,'Footnotes list'!$D$9:$E$58,2,FALSE)=0,"",VLOOKUP(J89,'Footnotes list'!$D$9:$E$58,2,FALSE) ) )</f>
        <v/>
      </c>
      <c r="L89" s="372"/>
      <c r="M89" s="373"/>
      <c r="N89" s="374"/>
      <c r="O89" s="375"/>
      <c r="P89" s="376" t="str">
        <f>IF(TRIM(O89)="", "", IF(VLOOKUP(O89,'Footnotes list'!$D$9:$E$58,2,FALSE)=0,"",VLOOKUP(O89,'Footnotes list'!$D$9:$E$58,2,FALSE) ) )</f>
        <v/>
      </c>
      <c r="Q89" s="372"/>
      <c r="R89" s="373"/>
      <c r="S89" s="374"/>
      <c r="T89" s="375"/>
      <c r="U89" s="376" t="str">
        <f>IF(TRIM(T89)="", "", IF(VLOOKUP(T89,'Footnotes list'!$D$9:$E$58,2,FALSE)=0,"",VLOOKUP(T89,'Footnotes list'!$D$9:$E$58,2,FALSE) ) )</f>
        <v/>
      </c>
      <c r="V89" s="372"/>
      <c r="W89" s="373"/>
      <c r="X89" s="374"/>
      <c r="Y89" s="375"/>
      <c r="Z89" s="376" t="str">
        <f>IF(TRIM(Y89)="", "", IF(VLOOKUP(Y89,'Footnotes list'!$D$9:$E$58,2,FALSE)=0,"",VLOOKUP(Y89,'Footnotes list'!$D$9:$E$58,2,FALSE) ) )</f>
        <v/>
      </c>
      <c r="AA89" s="382" t="str">
        <f>IF(AND(TRIM(Q89)="",TRIM(V89)=""),"",Q89+V89)</f>
        <v/>
      </c>
      <c r="AB89" s="373"/>
      <c r="AC89" s="374"/>
      <c r="AD89" s="375"/>
      <c r="AE89" s="376" t="str">
        <f>IF(TRIM(AD89)="", "", IF(VLOOKUP(AD89,'Footnotes list'!$D$9:$E$58,2,FALSE)=0,"",VLOOKUP(AD89,'Footnotes list'!$D$9:$E$58,2,FALSE) ) )</f>
        <v/>
      </c>
      <c r="AF89" s="372"/>
      <c r="AG89" s="373"/>
      <c r="AH89" s="374"/>
      <c r="AI89" s="375"/>
      <c r="AJ89" s="376" t="str">
        <f>IF(TRIM(AI89)="", "", IF(VLOOKUP(AI89,'Footnotes list'!$D$9:$E$58,2,FALSE)=0,"",VLOOKUP(AI89,'Footnotes list'!$D$9:$E$58,2,FALSE) ) )</f>
        <v/>
      </c>
      <c r="AK89" s="372"/>
      <c r="AL89" s="373"/>
      <c r="AM89" s="374"/>
      <c r="AN89" s="375"/>
      <c r="AO89" s="376" t="str">
        <f>IF(TRIM(AN89)="", "", IF(VLOOKUP(AN89,'Footnotes list'!$D$9:$E$58,2,FALSE)=0,"",VLOOKUP(AN89,'Footnotes list'!$D$9:$E$58,2,FALSE) ) )</f>
        <v/>
      </c>
      <c r="AP89" s="382" t="str">
        <f>IF(AND(TRIM(AF89)="",TRIM(AK89)=""),"",AF89+AK89)</f>
        <v/>
      </c>
      <c r="AQ89" s="373"/>
      <c r="AR89" s="374"/>
      <c r="AS89" s="375"/>
      <c r="AT89" s="376" t="str">
        <f>IF(TRIM(AS89)="", "", IF(VLOOKUP(AS89,'Footnotes list'!$D$9:$E$58,2,FALSE)=0,"",VLOOKUP(AS89,'Footnotes list'!$D$9:$E$58,2,FALSE) ) )</f>
        <v/>
      </c>
      <c r="AU89" s="382" t="str">
        <f>IF(AND(TRIM(G89)="",TRIM(L89)="",TRIM(AA89)="",TRIM(AP89)=""),"",SUM(G89,L89,AA89,AP89))</f>
        <v/>
      </c>
      <c r="AV89" s="373"/>
      <c r="AW89" s="374"/>
      <c r="AX89" s="375"/>
      <c r="AY89" s="376" t="str">
        <f>IF(TRIM(AX89)="", "", IF(VLOOKUP(AX89,'Footnotes list'!$D$9:$E$58,2,FALSE)=0,"",VLOOKUP(AX89,'Footnotes list'!$D$9:$E$58,2,FALSE) ) )</f>
        <v/>
      </c>
    </row>
    <row r="90" spans="2:51" ht="15" customHeight="1" x14ac:dyDescent="0.35">
      <c r="B90" s="535"/>
      <c r="C90" s="50" t="s">
        <v>137</v>
      </c>
      <c r="D90" s="529"/>
      <c r="E90" s="51" t="s">
        <v>145</v>
      </c>
      <c r="F90" s="52" t="s">
        <v>152</v>
      </c>
      <c r="G90" s="378"/>
      <c r="H90" s="379"/>
      <c r="I90" s="380"/>
      <c r="J90" s="381"/>
      <c r="K90" s="377" t="str">
        <f>IF(TRIM(J90)="", "", IF(VLOOKUP(J90,'Footnotes list'!$D$9:$E$58,2,FALSE)=0,"",VLOOKUP(J90,'Footnotes list'!$D$9:$E$58,2,FALSE) ) )</f>
        <v/>
      </c>
      <c r="L90" s="378"/>
      <c r="M90" s="379"/>
      <c r="N90" s="380"/>
      <c r="O90" s="381"/>
      <c r="P90" s="377" t="str">
        <f>IF(TRIM(O90)="", "", IF(VLOOKUP(O90,'Footnotes list'!$D$9:$E$58,2,FALSE)=0,"",VLOOKUP(O90,'Footnotes list'!$D$9:$E$58,2,FALSE) ) )</f>
        <v/>
      </c>
      <c r="Q90" s="378"/>
      <c r="R90" s="379"/>
      <c r="S90" s="380"/>
      <c r="T90" s="381"/>
      <c r="U90" s="377" t="str">
        <f>IF(TRIM(T90)="", "", IF(VLOOKUP(T90,'Footnotes list'!$D$9:$E$58,2,FALSE)=0,"",VLOOKUP(T90,'Footnotes list'!$D$9:$E$58,2,FALSE) ) )</f>
        <v/>
      </c>
      <c r="V90" s="378"/>
      <c r="W90" s="379"/>
      <c r="X90" s="380"/>
      <c r="Y90" s="381"/>
      <c r="Z90" s="377" t="str">
        <f>IF(TRIM(Y90)="", "", IF(VLOOKUP(Y90,'Footnotes list'!$D$9:$E$58,2,FALSE)=0,"",VLOOKUP(Y90,'Footnotes list'!$D$9:$E$58,2,FALSE) ) )</f>
        <v/>
      </c>
      <c r="AA90" s="129" t="str">
        <f>IF(AND(TRIM(Q90)="",TRIM(V90)=""),"",Q90+V90)</f>
        <v/>
      </c>
      <c r="AB90" s="379"/>
      <c r="AC90" s="380"/>
      <c r="AD90" s="381"/>
      <c r="AE90" s="377" t="str">
        <f>IF(TRIM(AD90)="", "", IF(VLOOKUP(AD90,'Footnotes list'!$D$9:$E$58,2,FALSE)=0,"",VLOOKUP(AD90,'Footnotes list'!$D$9:$E$58,2,FALSE) ) )</f>
        <v/>
      </c>
      <c r="AF90" s="378"/>
      <c r="AG90" s="379"/>
      <c r="AH90" s="380"/>
      <c r="AI90" s="381"/>
      <c r="AJ90" s="377" t="str">
        <f>IF(TRIM(AI90)="", "", IF(VLOOKUP(AI90,'Footnotes list'!$D$9:$E$58,2,FALSE)=0,"",VLOOKUP(AI90,'Footnotes list'!$D$9:$E$58,2,FALSE) ) )</f>
        <v/>
      </c>
      <c r="AK90" s="378"/>
      <c r="AL90" s="379"/>
      <c r="AM90" s="380"/>
      <c r="AN90" s="381"/>
      <c r="AO90" s="377" t="str">
        <f>IF(TRIM(AN90)="", "", IF(VLOOKUP(AN90,'Footnotes list'!$D$9:$E$58,2,FALSE)=0,"",VLOOKUP(AN90,'Footnotes list'!$D$9:$E$58,2,FALSE) ) )</f>
        <v/>
      </c>
      <c r="AP90" s="129" t="str">
        <f>IF(AND(TRIM(AF90)="",TRIM(AK90)=""),"",AF90+AK90)</f>
        <v/>
      </c>
      <c r="AQ90" s="379"/>
      <c r="AR90" s="380"/>
      <c r="AS90" s="381"/>
      <c r="AT90" s="377" t="str">
        <f>IF(TRIM(AS90)="", "", IF(VLOOKUP(AS90,'Footnotes list'!$D$9:$E$58,2,FALSE)=0,"",VLOOKUP(AS90,'Footnotes list'!$D$9:$E$58,2,FALSE) ) )</f>
        <v/>
      </c>
      <c r="AU90" s="403" t="str">
        <f>IF(AND(TRIM(G90)="",TRIM(L90)="",TRIM(AA90)="",TRIM(AP90)=""),"",SUM(G90,L90,AA90,AP90))</f>
        <v/>
      </c>
      <c r="AV90" s="379"/>
      <c r="AW90" s="380"/>
      <c r="AX90" s="381"/>
      <c r="AY90" s="377" t="str">
        <f>IF(TRIM(AX90)="", "", IF(VLOOKUP(AX90,'Footnotes list'!$D$9:$E$58,2,FALSE)=0,"",VLOOKUP(AX90,'Footnotes list'!$D$9:$E$58,2,FALSE) ) )</f>
        <v/>
      </c>
    </row>
    <row r="91" spans="2:51" ht="15" customHeight="1" thickBot="1" x14ac:dyDescent="0.4">
      <c r="B91" s="536"/>
      <c r="C91" s="53" t="s">
        <v>137</v>
      </c>
      <c r="D91" s="530"/>
      <c r="E91" s="47" t="s">
        <v>146</v>
      </c>
      <c r="F91" s="54" t="s">
        <v>234</v>
      </c>
      <c r="G91" s="126" t="str">
        <f>IF(AND(TRIM(G89)="",TRIM(G90)=""),"",G89+G90)</f>
        <v/>
      </c>
      <c r="H91" s="379"/>
      <c r="I91" s="380"/>
      <c r="J91" s="381"/>
      <c r="K91" s="377" t="str">
        <f>IF(TRIM(J91)="", "", IF(VLOOKUP(J91,'Footnotes list'!$D$9:$E$58,2,FALSE)=0,"",VLOOKUP(J91,'Footnotes list'!$D$9:$E$58,2,FALSE) ) )</f>
        <v/>
      </c>
      <c r="L91" s="126" t="str">
        <f>IF(AND(TRIM(L89)="",TRIM(L90)=""),"",L89+L90)</f>
        <v/>
      </c>
      <c r="M91" s="379"/>
      <c r="N91" s="380"/>
      <c r="O91" s="381"/>
      <c r="P91" s="377" t="str">
        <f>IF(TRIM(O91)="", "", IF(VLOOKUP(O91,'Footnotes list'!$D$9:$E$58,2,FALSE)=0,"",VLOOKUP(O91,'Footnotes list'!$D$9:$E$58,2,FALSE) ) )</f>
        <v/>
      </c>
      <c r="Q91" s="126" t="str">
        <f>IF(AND(TRIM(Q89)="",TRIM(Q90)=""),"",Q89+Q90)</f>
        <v/>
      </c>
      <c r="R91" s="379"/>
      <c r="S91" s="380"/>
      <c r="T91" s="381"/>
      <c r="U91" s="377" t="str">
        <f>IF(TRIM(T91)="", "", IF(VLOOKUP(T91,'Footnotes list'!$D$9:$E$58,2,FALSE)=0,"",VLOOKUP(T91,'Footnotes list'!$D$9:$E$58,2,FALSE) ) )</f>
        <v/>
      </c>
      <c r="V91" s="126" t="str">
        <f>IF(AND(TRIM(V89)="",TRIM(V90)=""),"",V89+V90)</f>
        <v/>
      </c>
      <c r="W91" s="379"/>
      <c r="X91" s="380"/>
      <c r="Y91" s="381"/>
      <c r="Z91" s="377" t="str">
        <f>IF(TRIM(Y91)="", "", IF(VLOOKUP(Y91,'Footnotes list'!$D$9:$E$58,2,FALSE)=0,"",VLOOKUP(Y91,'Footnotes list'!$D$9:$E$58,2,FALSE) ) )</f>
        <v/>
      </c>
      <c r="AA91" s="126" t="str">
        <f>IF(AND(TRIM(AA89)="", TRIM(AA90)=""), "", SUM(AA89,AA90))</f>
        <v/>
      </c>
      <c r="AB91" s="379"/>
      <c r="AC91" s="380"/>
      <c r="AD91" s="381"/>
      <c r="AE91" s="377" t="str">
        <f>IF(TRIM(AD91)="", "", IF(VLOOKUP(AD91,'Footnotes list'!$D$9:$E$58,2,FALSE)=0,"",VLOOKUP(AD91,'Footnotes list'!$D$9:$E$58,2,FALSE) ) )</f>
        <v/>
      </c>
      <c r="AF91" s="126" t="str">
        <f>IF(AND(TRIM(AF89)="",TRIM(AF90)=""),"",AF89+AF90)</f>
        <v/>
      </c>
      <c r="AG91" s="379"/>
      <c r="AH91" s="380"/>
      <c r="AI91" s="381"/>
      <c r="AJ91" s="377" t="str">
        <f>IF(TRIM(AI91)="", "", IF(VLOOKUP(AI91,'Footnotes list'!$D$9:$E$58,2,FALSE)=0,"",VLOOKUP(AI91,'Footnotes list'!$D$9:$E$58,2,FALSE) ) )</f>
        <v/>
      </c>
      <c r="AK91" s="126" t="str">
        <f>IF(AND(TRIM(AK89)="",TRIM(AK90)=""),"",AK89+AK90)</f>
        <v/>
      </c>
      <c r="AL91" s="379"/>
      <c r="AM91" s="380"/>
      <c r="AN91" s="381"/>
      <c r="AO91" s="377" t="str">
        <f>IF(TRIM(AN91)="", "", IF(VLOOKUP(AN91,'Footnotes list'!$D$9:$E$58,2,FALSE)=0,"",VLOOKUP(AN91,'Footnotes list'!$D$9:$E$58,2,FALSE) ) )</f>
        <v/>
      </c>
      <c r="AP91" s="126" t="str">
        <f>IF(AND(TRIM(AP89)="", TRIM(AP90)=""), "", SUM(AP89,AP90))</f>
        <v/>
      </c>
      <c r="AQ91" s="379"/>
      <c r="AR91" s="380"/>
      <c r="AS91" s="381"/>
      <c r="AT91" s="377" t="str">
        <f>IF(TRIM(AS91)="", "", IF(VLOOKUP(AS91,'Footnotes list'!$D$9:$E$58,2,FALSE)=0,"",VLOOKUP(AS91,'Footnotes list'!$D$9:$E$58,2,FALSE) ) )</f>
        <v/>
      </c>
      <c r="AU91" s="126" t="str">
        <f>IF(AND(TRIM(AU89)="", TRIM(AU90)=""), "", SUM(AU89,AU90) )</f>
        <v/>
      </c>
      <c r="AV91" s="379"/>
      <c r="AW91" s="380"/>
      <c r="AX91" s="381"/>
      <c r="AY91" s="377" t="str">
        <f>IF(TRIM(AX91)="", "", IF(VLOOKUP(AX91,'Footnotes list'!$D$9:$E$58,2,FALSE)=0,"",VLOOKUP(AX91,'Footnotes list'!$D$9:$E$58,2,FALSE) ) )</f>
        <v/>
      </c>
    </row>
    <row r="92" spans="2:51" ht="15" customHeight="1" x14ac:dyDescent="0.35">
      <c r="B92" s="534" t="s">
        <v>138</v>
      </c>
      <c r="C92" s="41" t="s">
        <v>138</v>
      </c>
      <c r="D92" s="528" t="s">
        <v>161</v>
      </c>
      <c r="E92" s="42" t="s">
        <v>144</v>
      </c>
      <c r="F92" s="43" t="s">
        <v>151</v>
      </c>
      <c r="G92" s="372"/>
      <c r="H92" s="373"/>
      <c r="I92" s="374"/>
      <c r="J92" s="375"/>
      <c r="K92" s="376" t="str">
        <f>IF(TRIM(J92)="", "", IF(VLOOKUP(J92,'Footnotes list'!$D$9:$E$58,2,FALSE)=0,"",VLOOKUP(J92,'Footnotes list'!$D$9:$E$58,2,FALSE) ) )</f>
        <v/>
      </c>
      <c r="L92" s="372"/>
      <c r="M92" s="373"/>
      <c r="N92" s="374"/>
      <c r="O92" s="375"/>
      <c r="P92" s="376" t="str">
        <f>IF(TRIM(O92)="", "", IF(VLOOKUP(O92,'Footnotes list'!$D$9:$E$58,2,FALSE)=0,"",VLOOKUP(O92,'Footnotes list'!$D$9:$E$58,2,FALSE) ) )</f>
        <v/>
      </c>
      <c r="Q92" s="372"/>
      <c r="R92" s="373"/>
      <c r="S92" s="374"/>
      <c r="T92" s="375"/>
      <c r="U92" s="376" t="str">
        <f>IF(TRIM(T92)="", "", IF(VLOOKUP(T92,'Footnotes list'!$D$9:$E$58,2,FALSE)=0,"",VLOOKUP(T92,'Footnotes list'!$D$9:$E$58,2,FALSE) ) )</f>
        <v/>
      </c>
      <c r="V92" s="372"/>
      <c r="W92" s="373"/>
      <c r="X92" s="374"/>
      <c r="Y92" s="375"/>
      <c r="Z92" s="376" t="str">
        <f>IF(TRIM(Y92)="", "", IF(VLOOKUP(Y92,'Footnotes list'!$D$9:$E$58,2,FALSE)=0,"",VLOOKUP(Y92,'Footnotes list'!$D$9:$E$58,2,FALSE) ) )</f>
        <v/>
      </c>
      <c r="AA92" s="382" t="str">
        <f>IF(AND(TRIM(Q92)="",TRIM(V92)=""),"",Q92+V92)</f>
        <v/>
      </c>
      <c r="AB92" s="373"/>
      <c r="AC92" s="374"/>
      <c r="AD92" s="375"/>
      <c r="AE92" s="376" t="str">
        <f>IF(TRIM(AD92)="", "", IF(VLOOKUP(AD92,'Footnotes list'!$D$9:$E$58,2,FALSE)=0,"",VLOOKUP(AD92,'Footnotes list'!$D$9:$E$58,2,FALSE) ) )</f>
        <v/>
      </c>
      <c r="AF92" s="372"/>
      <c r="AG92" s="373"/>
      <c r="AH92" s="374"/>
      <c r="AI92" s="375"/>
      <c r="AJ92" s="376" t="str">
        <f>IF(TRIM(AI92)="", "", IF(VLOOKUP(AI92,'Footnotes list'!$D$9:$E$58,2,FALSE)=0,"",VLOOKUP(AI92,'Footnotes list'!$D$9:$E$58,2,FALSE) ) )</f>
        <v/>
      </c>
      <c r="AK92" s="372"/>
      <c r="AL92" s="373"/>
      <c r="AM92" s="374"/>
      <c r="AN92" s="375"/>
      <c r="AO92" s="376" t="str">
        <f>IF(TRIM(AN92)="", "", IF(VLOOKUP(AN92,'Footnotes list'!$D$9:$E$58,2,FALSE)=0,"",VLOOKUP(AN92,'Footnotes list'!$D$9:$E$58,2,FALSE) ) )</f>
        <v/>
      </c>
      <c r="AP92" s="382" t="str">
        <f>IF(AND(TRIM(AF92)="",TRIM(AK92)=""),"",AF92+AK92)</f>
        <v/>
      </c>
      <c r="AQ92" s="373"/>
      <c r="AR92" s="374"/>
      <c r="AS92" s="375"/>
      <c r="AT92" s="376" t="str">
        <f>IF(TRIM(AS92)="", "", IF(VLOOKUP(AS92,'Footnotes list'!$D$9:$E$58,2,FALSE)=0,"",VLOOKUP(AS92,'Footnotes list'!$D$9:$E$58,2,FALSE) ) )</f>
        <v/>
      </c>
      <c r="AU92" s="382" t="str">
        <f>IF(AND(TRIM(G92)="",TRIM(L92)="",TRIM(AA92)="",TRIM(AP92)=""),"",SUM(G92,L92,AA92,AP92))</f>
        <v/>
      </c>
      <c r="AV92" s="373"/>
      <c r="AW92" s="374"/>
      <c r="AX92" s="375"/>
      <c r="AY92" s="376" t="str">
        <f>IF(TRIM(AX92)="", "", IF(VLOOKUP(AX92,'Footnotes list'!$D$9:$E$58,2,FALSE)=0,"",VLOOKUP(AX92,'Footnotes list'!$D$9:$E$58,2,FALSE) ) )</f>
        <v/>
      </c>
    </row>
    <row r="93" spans="2:51" ht="15" customHeight="1" x14ac:dyDescent="0.35">
      <c r="B93" s="535"/>
      <c r="C93" s="50" t="s">
        <v>138</v>
      </c>
      <c r="D93" s="529"/>
      <c r="E93" s="51" t="s">
        <v>145</v>
      </c>
      <c r="F93" s="52" t="s">
        <v>152</v>
      </c>
      <c r="G93" s="378"/>
      <c r="H93" s="379"/>
      <c r="I93" s="380"/>
      <c r="J93" s="381"/>
      <c r="K93" s="377" t="str">
        <f>IF(TRIM(J93)="", "", IF(VLOOKUP(J93,'Footnotes list'!$D$9:$E$58,2,FALSE)=0,"",VLOOKUP(J93,'Footnotes list'!$D$9:$E$58,2,FALSE) ) )</f>
        <v/>
      </c>
      <c r="L93" s="378"/>
      <c r="M93" s="379"/>
      <c r="N93" s="380"/>
      <c r="O93" s="381"/>
      <c r="P93" s="377" t="str">
        <f>IF(TRIM(O93)="", "", IF(VLOOKUP(O93,'Footnotes list'!$D$9:$E$58,2,FALSE)=0,"",VLOOKUP(O93,'Footnotes list'!$D$9:$E$58,2,FALSE) ) )</f>
        <v/>
      </c>
      <c r="Q93" s="378"/>
      <c r="R93" s="379"/>
      <c r="S93" s="380"/>
      <c r="T93" s="381"/>
      <c r="U93" s="377" t="str">
        <f>IF(TRIM(T93)="", "", IF(VLOOKUP(T93,'Footnotes list'!$D$9:$E$58,2,FALSE)=0,"",VLOOKUP(T93,'Footnotes list'!$D$9:$E$58,2,FALSE) ) )</f>
        <v/>
      </c>
      <c r="V93" s="378"/>
      <c r="W93" s="379"/>
      <c r="X93" s="380"/>
      <c r="Y93" s="381"/>
      <c r="Z93" s="377" t="str">
        <f>IF(TRIM(Y93)="", "", IF(VLOOKUP(Y93,'Footnotes list'!$D$9:$E$58,2,FALSE)=0,"",VLOOKUP(Y93,'Footnotes list'!$D$9:$E$58,2,FALSE) ) )</f>
        <v/>
      </c>
      <c r="AA93" s="129" t="str">
        <f>IF(AND(TRIM(Q93)="",TRIM(V93)=""),"",Q93+V93)</f>
        <v/>
      </c>
      <c r="AB93" s="379"/>
      <c r="AC93" s="380"/>
      <c r="AD93" s="381"/>
      <c r="AE93" s="377" t="str">
        <f>IF(TRIM(AD93)="", "", IF(VLOOKUP(AD93,'Footnotes list'!$D$9:$E$58,2,FALSE)=0,"",VLOOKUP(AD93,'Footnotes list'!$D$9:$E$58,2,FALSE) ) )</f>
        <v/>
      </c>
      <c r="AF93" s="378"/>
      <c r="AG93" s="379"/>
      <c r="AH93" s="380"/>
      <c r="AI93" s="381"/>
      <c r="AJ93" s="377" t="str">
        <f>IF(TRIM(AI93)="", "", IF(VLOOKUP(AI93,'Footnotes list'!$D$9:$E$58,2,FALSE)=0,"",VLOOKUP(AI93,'Footnotes list'!$D$9:$E$58,2,FALSE) ) )</f>
        <v/>
      </c>
      <c r="AK93" s="378"/>
      <c r="AL93" s="379"/>
      <c r="AM93" s="380"/>
      <c r="AN93" s="381"/>
      <c r="AO93" s="377" t="str">
        <f>IF(TRIM(AN93)="", "", IF(VLOOKUP(AN93,'Footnotes list'!$D$9:$E$58,2,FALSE)=0,"",VLOOKUP(AN93,'Footnotes list'!$D$9:$E$58,2,FALSE) ) )</f>
        <v/>
      </c>
      <c r="AP93" s="129" t="str">
        <f>IF(AND(TRIM(AF93)="",TRIM(AK93)=""),"",AF93+AK93)</f>
        <v/>
      </c>
      <c r="AQ93" s="379"/>
      <c r="AR93" s="380"/>
      <c r="AS93" s="381"/>
      <c r="AT93" s="377" t="str">
        <f>IF(TRIM(AS93)="", "", IF(VLOOKUP(AS93,'Footnotes list'!$D$9:$E$58,2,FALSE)=0,"",VLOOKUP(AS93,'Footnotes list'!$D$9:$E$58,2,FALSE) ) )</f>
        <v/>
      </c>
      <c r="AU93" s="403" t="str">
        <f>IF(AND(TRIM(G93)="",TRIM(L93)="",TRIM(AA93)="",TRIM(AP93)=""),"",SUM(G93,L93,AA93,AP93))</f>
        <v/>
      </c>
      <c r="AV93" s="379"/>
      <c r="AW93" s="380"/>
      <c r="AX93" s="381"/>
      <c r="AY93" s="377" t="str">
        <f>IF(TRIM(AX93)="", "", IF(VLOOKUP(AX93,'Footnotes list'!$D$9:$E$58,2,FALSE)=0,"",VLOOKUP(AX93,'Footnotes list'!$D$9:$E$58,2,FALSE) ) )</f>
        <v/>
      </c>
    </row>
    <row r="94" spans="2:51" ht="15" customHeight="1" thickBot="1" x14ac:dyDescent="0.4">
      <c r="B94" s="536"/>
      <c r="C94" s="53" t="s">
        <v>138</v>
      </c>
      <c r="D94" s="530"/>
      <c r="E94" s="47" t="s">
        <v>146</v>
      </c>
      <c r="F94" s="54" t="s">
        <v>234</v>
      </c>
      <c r="G94" s="126" t="str">
        <f>IF(AND(TRIM(G92)="",TRIM(G93)=""),"",G92+G93)</f>
        <v/>
      </c>
      <c r="H94" s="379"/>
      <c r="I94" s="380"/>
      <c r="J94" s="381"/>
      <c r="K94" s="377" t="str">
        <f>IF(TRIM(J94)="", "", IF(VLOOKUP(J94,'Footnotes list'!$D$9:$E$58,2,FALSE)=0,"",VLOOKUP(J94,'Footnotes list'!$D$9:$E$58,2,FALSE) ) )</f>
        <v/>
      </c>
      <c r="L94" s="126" t="str">
        <f>IF(AND(TRIM(L92)="",TRIM(L93)=""),"",L92+L93)</f>
        <v/>
      </c>
      <c r="M94" s="379"/>
      <c r="N94" s="380"/>
      <c r="O94" s="381"/>
      <c r="P94" s="377" t="str">
        <f>IF(TRIM(O94)="", "", IF(VLOOKUP(O94,'Footnotes list'!$D$9:$E$58,2,FALSE)=0,"",VLOOKUP(O94,'Footnotes list'!$D$9:$E$58,2,FALSE) ) )</f>
        <v/>
      </c>
      <c r="Q94" s="126" t="str">
        <f>IF(AND(TRIM(Q92)="",TRIM(Q93)=""),"",Q92+Q93)</f>
        <v/>
      </c>
      <c r="R94" s="379"/>
      <c r="S94" s="380"/>
      <c r="T94" s="381"/>
      <c r="U94" s="377" t="str">
        <f>IF(TRIM(T94)="", "", IF(VLOOKUP(T94,'Footnotes list'!$D$9:$E$58,2,FALSE)=0,"",VLOOKUP(T94,'Footnotes list'!$D$9:$E$58,2,FALSE) ) )</f>
        <v/>
      </c>
      <c r="V94" s="126" t="str">
        <f>IF(AND(TRIM(V92)="",TRIM(V93)=""),"",V92+V93)</f>
        <v/>
      </c>
      <c r="W94" s="379"/>
      <c r="X94" s="380"/>
      <c r="Y94" s="381"/>
      <c r="Z94" s="377" t="str">
        <f>IF(TRIM(Y94)="", "", IF(VLOOKUP(Y94,'Footnotes list'!$D$9:$E$58,2,FALSE)=0,"",VLOOKUP(Y94,'Footnotes list'!$D$9:$E$58,2,FALSE) ) )</f>
        <v/>
      </c>
      <c r="AA94" s="126" t="str">
        <f>IF(AND(TRIM(AA92)="", TRIM(AA93)=""), "", SUM(AA92,AA93))</f>
        <v/>
      </c>
      <c r="AB94" s="379"/>
      <c r="AC94" s="380"/>
      <c r="AD94" s="381"/>
      <c r="AE94" s="377" t="str">
        <f>IF(TRIM(AD94)="", "", IF(VLOOKUP(AD94,'Footnotes list'!$D$9:$E$58,2,FALSE)=0,"",VLOOKUP(AD94,'Footnotes list'!$D$9:$E$58,2,FALSE) ) )</f>
        <v/>
      </c>
      <c r="AF94" s="126" t="str">
        <f>IF(AND(TRIM(AF92)="",TRIM(AF93)=""),"",AF92+AF93)</f>
        <v/>
      </c>
      <c r="AG94" s="379"/>
      <c r="AH94" s="380"/>
      <c r="AI94" s="381"/>
      <c r="AJ94" s="377" t="str">
        <f>IF(TRIM(AI94)="", "", IF(VLOOKUP(AI94,'Footnotes list'!$D$9:$E$58,2,FALSE)=0,"",VLOOKUP(AI94,'Footnotes list'!$D$9:$E$58,2,FALSE) ) )</f>
        <v/>
      </c>
      <c r="AK94" s="126" t="str">
        <f>IF(AND(TRIM(AK92)="",TRIM(AK93)=""),"",AK92+AK93)</f>
        <v/>
      </c>
      <c r="AL94" s="379"/>
      <c r="AM94" s="380"/>
      <c r="AN94" s="381"/>
      <c r="AO94" s="377" t="str">
        <f>IF(TRIM(AN94)="", "", IF(VLOOKUP(AN94,'Footnotes list'!$D$9:$E$58,2,FALSE)=0,"",VLOOKUP(AN94,'Footnotes list'!$D$9:$E$58,2,FALSE) ) )</f>
        <v/>
      </c>
      <c r="AP94" s="126" t="str">
        <f>IF(AND(TRIM(AP92)="", TRIM(AP93)=""), "", SUM(AP92,AP93))</f>
        <v/>
      </c>
      <c r="AQ94" s="379"/>
      <c r="AR94" s="380"/>
      <c r="AS94" s="381"/>
      <c r="AT94" s="377" t="str">
        <f>IF(TRIM(AS94)="", "", IF(VLOOKUP(AS94,'Footnotes list'!$D$9:$E$58,2,FALSE)=0,"",VLOOKUP(AS94,'Footnotes list'!$D$9:$E$58,2,FALSE) ) )</f>
        <v/>
      </c>
      <c r="AU94" s="126" t="str">
        <f>IF(AND(TRIM(AU92)="", TRIM(AU93)=""), "", SUM(AU92,AU93) )</f>
        <v/>
      </c>
      <c r="AV94" s="379"/>
      <c r="AW94" s="380"/>
      <c r="AX94" s="381"/>
      <c r="AY94" s="377" t="str">
        <f>IF(TRIM(AX94)="", "", IF(VLOOKUP(AX94,'Footnotes list'!$D$9:$E$58,2,FALSE)=0,"",VLOOKUP(AX94,'Footnotes list'!$D$9:$E$58,2,FALSE) ) )</f>
        <v/>
      </c>
    </row>
    <row r="95" spans="2:51" ht="15" customHeight="1" x14ac:dyDescent="0.35">
      <c r="B95" s="534" t="s">
        <v>139</v>
      </c>
      <c r="C95" s="41" t="s">
        <v>139</v>
      </c>
      <c r="D95" s="528" t="s">
        <v>102</v>
      </c>
      <c r="E95" s="42" t="s">
        <v>144</v>
      </c>
      <c r="F95" s="43" t="s">
        <v>151</v>
      </c>
      <c r="G95" s="372"/>
      <c r="H95" s="373"/>
      <c r="I95" s="374"/>
      <c r="J95" s="375"/>
      <c r="K95" s="376" t="str">
        <f>IF(TRIM(J95)="", "", IF(VLOOKUP(J95,'Footnotes list'!$D$9:$E$58,2,FALSE)=0,"",VLOOKUP(J95,'Footnotes list'!$D$9:$E$58,2,FALSE) ) )</f>
        <v/>
      </c>
      <c r="L95" s="372"/>
      <c r="M95" s="373"/>
      <c r="N95" s="374"/>
      <c r="O95" s="375"/>
      <c r="P95" s="376" t="str">
        <f>IF(TRIM(O95)="", "", IF(VLOOKUP(O95,'Footnotes list'!$D$9:$E$58,2,FALSE)=0,"",VLOOKUP(O95,'Footnotes list'!$D$9:$E$58,2,FALSE) ) )</f>
        <v/>
      </c>
      <c r="Q95" s="372"/>
      <c r="R95" s="373"/>
      <c r="S95" s="374"/>
      <c r="T95" s="375"/>
      <c r="U95" s="376" t="str">
        <f>IF(TRIM(T95)="", "", IF(VLOOKUP(T95,'Footnotes list'!$D$9:$E$58,2,FALSE)=0,"",VLOOKUP(T95,'Footnotes list'!$D$9:$E$58,2,FALSE) ) )</f>
        <v/>
      </c>
      <c r="V95" s="372"/>
      <c r="W95" s="373"/>
      <c r="X95" s="374"/>
      <c r="Y95" s="375"/>
      <c r="Z95" s="376" t="str">
        <f>IF(TRIM(Y95)="", "", IF(VLOOKUP(Y95,'Footnotes list'!$D$9:$E$58,2,FALSE)=0,"",VLOOKUP(Y95,'Footnotes list'!$D$9:$E$58,2,FALSE) ) )</f>
        <v/>
      </c>
      <c r="AA95" s="382" t="str">
        <f>IF(AND(TRIM(Q95)="",TRIM(V95)=""),"",Q95+V95)</f>
        <v/>
      </c>
      <c r="AB95" s="373"/>
      <c r="AC95" s="374"/>
      <c r="AD95" s="375"/>
      <c r="AE95" s="376" t="str">
        <f>IF(TRIM(AD95)="", "", IF(VLOOKUP(AD95,'Footnotes list'!$D$9:$E$58,2,FALSE)=0,"",VLOOKUP(AD95,'Footnotes list'!$D$9:$E$58,2,FALSE) ) )</f>
        <v/>
      </c>
      <c r="AF95" s="372"/>
      <c r="AG95" s="373"/>
      <c r="AH95" s="374"/>
      <c r="AI95" s="375"/>
      <c r="AJ95" s="376" t="str">
        <f>IF(TRIM(AI95)="", "", IF(VLOOKUP(AI95,'Footnotes list'!$D$9:$E$58,2,FALSE)=0,"",VLOOKUP(AI95,'Footnotes list'!$D$9:$E$58,2,FALSE) ) )</f>
        <v/>
      </c>
      <c r="AK95" s="372"/>
      <c r="AL95" s="373"/>
      <c r="AM95" s="374"/>
      <c r="AN95" s="375"/>
      <c r="AO95" s="376" t="str">
        <f>IF(TRIM(AN95)="", "", IF(VLOOKUP(AN95,'Footnotes list'!$D$9:$E$58,2,FALSE)=0,"",VLOOKUP(AN95,'Footnotes list'!$D$9:$E$58,2,FALSE) ) )</f>
        <v/>
      </c>
      <c r="AP95" s="382" t="str">
        <f>IF(AND(TRIM(AF95)="",TRIM(AK95)=""),"",AF95+AK95)</f>
        <v/>
      </c>
      <c r="AQ95" s="373"/>
      <c r="AR95" s="374"/>
      <c r="AS95" s="375"/>
      <c r="AT95" s="376" t="str">
        <f>IF(TRIM(AS95)="", "", IF(VLOOKUP(AS95,'Footnotes list'!$D$9:$E$58,2,FALSE)=0,"",VLOOKUP(AS95,'Footnotes list'!$D$9:$E$58,2,FALSE) ) )</f>
        <v/>
      </c>
      <c r="AU95" s="382" t="str">
        <f>IF(AND(TRIM(G95)="",TRIM(L95)="",TRIM(AA95)="",TRIM(AP95)=""),"",SUM(G95,L95,AA95,AP95))</f>
        <v/>
      </c>
      <c r="AV95" s="373"/>
      <c r="AW95" s="374"/>
      <c r="AX95" s="375"/>
      <c r="AY95" s="376" t="str">
        <f>IF(TRIM(AX95)="", "", IF(VLOOKUP(AX95,'Footnotes list'!$D$9:$E$58,2,FALSE)=0,"",VLOOKUP(AX95,'Footnotes list'!$D$9:$E$58,2,FALSE) ) )</f>
        <v/>
      </c>
    </row>
    <row r="96" spans="2:51" ht="15" customHeight="1" x14ac:dyDescent="0.35">
      <c r="B96" s="535"/>
      <c r="C96" s="50" t="s">
        <v>139</v>
      </c>
      <c r="D96" s="529"/>
      <c r="E96" s="51" t="s">
        <v>145</v>
      </c>
      <c r="F96" s="52" t="s">
        <v>152</v>
      </c>
      <c r="G96" s="378"/>
      <c r="H96" s="379"/>
      <c r="I96" s="380"/>
      <c r="J96" s="381"/>
      <c r="K96" s="377" t="str">
        <f>IF(TRIM(J96)="", "", IF(VLOOKUP(J96,'Footnotes list'!$D$9:$E$58,2,FALSE)=0,"",VLOOKUP(J96,'Footnotes list'!$D$9:$E$58,2,FALSE) ) )</f>
        <v/>
      </c>
      <c r="L96" s="378"/>
      <c r="M96" s="379"/>
      <c r="N96" s="380"/>
      <c r="O96" s="381"/>
      <c r="P96" s="377" t="str">
        <f>IF(TRIM(O96)="", "", IF(VLOOKUP(O96,'Footnotes list'!$D$9:$E$58,2,FALSE)=0,"",VLOOKUP(O96,'Footnotes list'!$D$9:$E$58,2,FALSE) ) )</f>
        <v/>
      </c>
      <c r="Q96" s="378"/>
      <c r="R96" s="379"/>
      <c r="S96" s="380"/>
      <c r="T96" s="381"/>
      <c r="U96" s="377" t="str">
        <f>IF(TRIM(T96)="", "", IF(VLOOKUP(T96,'Footnotes list'!$D$9:$E$58,2,FALSE)=0,"",VLOOKUP(T96,'Footnotes list'!$D$9:$E$58,2,FALSE) ) )</f>
        <v/>
      </c>
      <c r="V96" s="378"/>
      <c r="W96" s="379"/>
      <c r="X96" s="380"/>
      <c r="Y96" s="381"/>
      <c r="Z96" s="377" t="str">
        <f>IF(TRIM(Y96)="", "", IF(VLOOKUP(Y96,'Footnotes list'!$D$9:$E$58,2,FALSE)=0,"",VLOOKUP(Y96,'Footnotes list'!$D$9:$E$58,2,FALSE) ) )</f>
        <v/>
      </c>
      <c r="AA96" s="129" t="str">
        <f>IF(AND(TRIM(Q96)="",TRIM(V96)=""),"",Q96+V96)</f>
        <v/>
      </c>
      <c r="AB96" s="379"/>
      <c r="AC96" s="380"/>
      <c r="AD96" s="381"/>
      <c r="AE96" s="377" t="str">
        <f>IF(TRIM(AD96)="", "", IF(VLOOKUP(AD96,'Footnotes list'!$D$9:$E$58,2,FALSE)=0,"",VLOOKUP(AD96,'Footnotes list'!$D$9:$E$58,2,FALSE) ) )</f>
        <v/>
      </c>
      <c r="AF96" s="378"/>
      <c r="AG96" s="379"/>
      <c r="AH96" s="380"/>
      <c r="AI96" s="381"/>
      <c r="AJ96" s="377" t="str">
        <f>IF(TRIM(AI96)="", "", IF(VLOOKUP(AI96,'Footnotes list'!$D$9:$E$58,2,FALSE)=0,"",VLOOKUP(AI96,'Footnotes list'!$D$9:$E$58,2,FALSE) ) )</f>
        <v/>
      </c>
      <c r="AK96" s="378"/>
      <c r="AL96" s="379"/>
      <c r="AM96" s="380"/>
      <c r="AN96" s="381"/>
      <c r="AO96" s="377" t="str">
        <f>IF(TRIM(AN96)="", "", IF(VLOOKUP(AN96,'Footnotes list'!$D$9:$E$58,2,FALSE)=0,"",VLOOKUP(AN96,'Footnotes list'!$D$9:$E$58,2,FALSE) ) )</f>
        <v/>
      </c>
      <c r="AP96" s="129" t="str">
        <f>IF(AND(TRIM(AF96)="",TRIM(AK96)=""),"",AF96+AK96)</f>
        <v/>
      </c>
      <c r="AQ96" s="379"/>
      <c r="AR96" s="380"/>
      <c r="AS96" s="381"/>
      <c r="AT96" s="377" t="str">
        <f>IF(TRIM(AS96)="", "", IF(VLOOKUP(AS96,'Footnotes list'!$D$9:$E$58,2,FALSE)=0,"",VLOOKUP(AS96,'Footnotes list'!$D$9:$E$58,2,FALSE) ) )</f>
        <v/>
      </c>
      <c r="AU96" s="403" t="str">
        <f>IF(AND(TRIM(G96)="",TRIM(L96)="",TRIM(AA96)="",TRIM(AP96)=""),"",SUM(G96,L96,AA96,AP96))</f>
        <v/>
      </c>
      <c r="AV96" s="379"/>
      <c r="AW96" s="380"/>
      <c r="AX96" s="381"/>
      <c r="AY96" s="377" t="str">
        <f>IF(TRIM(AX96)="", "", IF(VLOOKUP(AX96,'Footnotes list'!$D$9:$E$58,2,FALSE)=0,"",VLOOKUP(AX96,'Footnotes list'!$D$9:$E$58,2,FALSE) ) )</f>
        <v/>
      </c>
    </row>
    <row r="97" spans="2:51" ht="15" customHeight="1" thickBot="1" x14ac:dyDescent="0.4">
      <c r="B97" s="536"/>
      <c r="C97" s="53" t="s">
        <v>139</v>
      </c>
      <c r="D97" s="530"/>
      <c r="E97" s="47" t="s">
        <v>146</v>
      </c>
      <c r="F97" s="54" t="s">
        <v>234</v>
      </c>
      <c r="G97" s="126" t="str">
        <f>IF(AND(TRIM(G95)="",TRIM(G96)=""),"",G95+G96)</f>
        <v/>
      </c>
      <c r="H97" s="379"/>
      <c r="I97" s="380"/>
      <c r="J97" s="381"/>
      <c r="K97" s="377" t="str">
        <f>IF(TRIM(J97)="", "", IF(VLOOKUP(J97,'Footnotes list'!$D$9:$E$58,2,FALSE)=0,"",VLOOKUP(J97,'Footnotes list'!$D$9:$E$58,2,FALSE) ) )</f>
        <v/>
      </c>
      <c r="L97" s="126" t="str">
        <f>IF(AND(TRIM(L95)="",TRIM(L96)=""),"",L95+L96)</f>
        <v/>
      </c>
      <c r="M97" s="379"/>
      <c r="N97" s="380"/>
      <c r="O97" s="381"/>
      <c r="P97" s="377" t="str">
        <f>IF(TRIM(O97)="", "", IF(VLOOKUP(O97,'Footnotes list'!$D$9:$E$58,2,FALSE)=0,"",VLOOKUP(O97,'Footnotes list'!$D$9:$E$58,2,FALSE) ) )</f>
        <v/>
      </c>
      <c r="Q97" s="126" t="str">
        <f>IF(AND(TRIM(Q95)="",TRIM(Q96)=""),"",Q95+Q96)</f>
        <v/>
      </c>
      <c r="R97" s="379"/>
      <c r="S97" s="380"/>
      <c r="T97" s="381"/>
      <c r="U97" s="377" t="str">
        <f>IF(TRIM(T97)="", "", IF(VLOOKUP(T97,'Footnotes list'!$D$9:$E$58,2,FALSE)=0,"",VLOOKUP(T97,'Footnotes list'!$D$9:$E$58,2,FALSE) ) )</f>
        <v/>
      </c>
      <c r="V97" s="126" t="str">
        <f>IF(AND(TRIM(V95)="",TRIM(V96)=""),"",V95+V96)</f>
        <v/>
      </c>
      <c r="W97" s="379"/>
      <c r="X97" s="380"/>
      <c r="Y97" s="381"/>
      <c r="Z97" s="377" t="str">
        <f>IF(TRIM(Y97)="", "", IF(VLOOKUP(Y97,'Footnotes list'!$D$9:$E$58,2,FALSE)=0,"",VLOOKUP(Y97,'Footnotes list'!$D$9:$E$58,2,FALSE) ) )</f>
        <v/>
      </c>
      <c r="AA97" s="126" t="str">
        <f>IF(AND(TRIM(AA95)="", TRIM(AA96)=""), "", SUM(AA95,AA96))</f>
        <v/>
      </c>
      <c r="AB97" s="379"/>
      <c r="AC97" s="380"/>
      <c r="AD97" s="381"/>
      <c r="AE97" s="377" t="str">
        <f>IF(TRIM(AD97)="", "", IF(VLOOKUP(AD97,'Footnotes list'!$D$9:$E$58,2,FALSE)=0,"",VLOOKUP(AD97,'Footnotes list'!$D$9:$E$58,2,FALSE) ) )</f>
        <v/>
      </c>
      <c r="AF97" s="126" t="str">
        <f>IF(AND(TRIM(AF95)="",TRIM(AF96)=""),"",AF95+AF96)</f>
        <v/>
      </c>
      <c r="AG97" s="379"/>
      <c r="AH97" s="380"/>
      <c r="AI97" s="381"/>
      <c r="AJ97" s="377" t="str">
        <f>IF(TRIM(AI97)="", "", IF(VLOOKUP(AI97,'Footnotes list'!$D$9:$E$58,2,FALSE)=0,"",VLOOKUP(AI97,'Footnotes list'!$D$9:$E$58,2,FALSE) ) )</f>
        <v/>
      </c>
      <c r="AK97" s="126" t="str">
        <f>IF(AND(TRIM(AK95)="",TRIM(AK96)=""),"",AK95+AK96)</f>
        <v/>
      </c>
      <c r="AL97" s="379"/>
      <c r="AM97" s="380"/>
      <c r="AN97" s="381"/>
      <c r="AO97" s="377" t="str">
        <f>IF(TRIM(AN97)="", "", IF(VLOOKUP(AN97,'Footnotes list'!$D$9:$E$58,2,FALSE)=0,"",VLOOKUP(AN97,'Footnotes list'!$D$9:$E$58,2,FALSE) ) )</f>
        <v/>
      </c>
      <c r="AP97" s="126" t="str">
        <f>IF(AND(TRIM(AP95)="", TRIM(AP96)=""), "", SUM(AP95,AP96))</f>
        <v/>
      </c>
      <c r="AQ97" s="379"/>
      <c r="AR97" s="380"/>
      <c r="AS97" s="381"/>
      <c r="AT97" s="377" t="str">
        <f>IF(TRIM(AS97)="", "", IF(VLOOKUP(AS97,'Footnotes list'!$D$9:$E$58,2,FALSE)=0,"",VLOOKUP(AS97,'Footnotes list'!$D$9:$E$58,2,FALSE) ) )</f>
        <v/>
      </c>
      <c r="AU97" s="126" t="str">
        <f>IF(AND(TRIM(AU95)="", TRIM(AU96)=""), "", SUM(AU95,AU96) )</f>
        <v/>
      </c>
      <c r="AV97" s="379"/>
      <c r="AW97" s="380"/>
      <c r="AX97" s="381"/>
      <c r="AY97" s="377" t="str">
        <f>IF(TRIM(AX97)="", "", IF(VLOOKUP(AX97,'Footnotes list'!$D$9:$E$58,2,FALSE)=0,"",VLOOKUP(AX97,'Footnotes list'!$D$9:$E$58,2,FALSE) ) )</f>
        <v/>
      </c>
    </row>
    <row r="98" spans="2:51" ht="15" customHeight="1" x14ac:dyDescent="0.35">
      <c r="B98" s="534" t="s">
        <v>140</v>
      </c>
      <c r="C98" s="41" t="s">
        <v>140</v>
      </c>
      <c r="D98" s="528" t="s">
        <v>103</v>
      </c>
      <c r="E98" s="42" t="s">
        <v>144</v>
      </c>
      <c r="F98" s="43" t="s">
        <v>151</v>
      </c>
      <c r="G98" s="372"/>
      <c r="H98" s="373"/>
      <c r="I98" s="374"/>
      <c r="J98" s="375"/>
      <c r="K98" s="376" t="str">
        <f>IF(TRIM(J98)="", "", IF(VLOOKUP(J98,'Footnotes list'!$D$9:$E$58,2,FALSE)=0,"",VLOOKUP(J98,'Footnotes list'!$D$9:$E$58,2,FALSE) ) )</f>
        <v/>
      </c>
      <c r="L98" s="372"/>
      <c r="M98" s="373"/>
      <c r="N98" s="374"/>
      <c r="O98" s="375"/>
      <c r="P98" s="376" t="str">
        <f>IF(TRIM(O98)="", "", IF(VLOOKUP(O98,'Footnotes list'!$D$9:$E$58,2,FALSE)=0,"",VLOOKUP(O98,'Footnotes list'!$D$9:$E$58,2,FALSE) ) )</f>
        <v/>
      </c>
      <c r="Q98" s="372"/>
      <c r="R98" s="373"/>
      <c r="S98" s="374"/>
      <c r="T98" s="375"/>
      <c r="U98" s="376" t="str">
        <f>IF(TRIM(T98)="", "", IF(VLOOKUP(T98,'Footnotes list'!$D$9:$E$58,2,FALSE)=0,"",VLOOKUP(T98,'Footnotes list'!$D$9:$E$58,2,FALSE) ) )</f>
        <v/>
      </c>
      <c r="V98" s="372"/>
      <c r="W98" s="373"/>
      <c r="X98" s="374"/>
      <c r="Y98" s="375"/>
      <c r="Z98" s="376" t="str">
        <f>IF(TRIM(Y98)="", "", IF(VLOOKUP(Y98,'Footnotes list'!$D$9:$E$58,2,FALSE)=0,"",VLOOKUP(Y98,'Footnotes list'!$D$9:$E$58,2,FALSE) ) )</f>
        <v/>
      </c>
      <c r="AA98" s="382" t="str">
        <f>IF(AND(TRIM(Q98)="",TRIM(V98)=""),"",Q98+V98)</f>
        <v/>
      </c>
      <c r="AB98" s="373"/>
      <c r="AC98" s="374"/>
      <c r="AD98" s="375"/>
      <c r="AE98" s="376" t="str">
        <f>IF(TRIM(AD98)="", "", IF(VLOOKUP(AD98,'Footnotes list'!$D$9:$E$58,2,FALSE)=0,"",VLOOKUP(AD98,'Footnotes list'!$D$9:$E$58,2,FALSE) ) )</f>
        <v/>
      </c>
      <c r="AF98" s="372"/>
      <c r="AG98" s="373"/>
      <c r="AH98" s="374"/>
      <c r="AI98" s="375"/>
      <c r="AJ98" s="376" t="str">
        <f>IF(TRIM(AI98)="", "", IF(VLOOKUP(AI98,'Footnotes list'!$D$9:$E$58,2,FALSE)=0,"",VLOOKUP(AI98,'Footnotes list'!$D$9:$E$58,2,FALSE) ) )</f>
        <v/>
      </c>
      <c r="AK98" s="372"/>
      <c r="AL98" s="373"/>
      <c r="AM98" s="374"/>
      <c r="AN98" s="375"/>
      <c r="AO98" s="376" t="str">
        <f>IF(TRIM(AN98)="", "", IF(VLOOKUP(AN98,'Footnotes list'!$D$9:$E$58,2,FALSE)=0,"",VLOOKUP(AN98,'Footnotes list'!$D$9:$E$58,2,FALSE) ) )</f>
        <v/>
      </c>
      <c r="AP98" s="382" t="str">
        <f>IF(AND(TRIM(AF98)="",TRIM(AK98)=""),"",AF98+AK98)</f>
        <v/>
      </c>
      <c r="AQ98" s="373"/>
      <c r="AR98" s="374"/>
      <c r="AS98" s="375"/>
      <c r="AT98" s="376" t="str">
        <f>IF(TRIM(AS98)="", "", IF(VLOOKUP(AS98,'Footnotes list'!$D$9:$E$58,2,FALSE)=0,"",VLOOKUP(AS98,'Footnotes list'!$D$9:$E$58,2,FALSE) ) )</f>
        <v/>
      </c>
      <c r="AU98" s="382" t="str">
        <f>IF(AND(TRIM(G98)="",TRIM(L98)="",TRIM(AA98)="",TRIM(AP98)=""),"",SUM(G98,L98,AA98,AP98))</f>
        <v/>
      </c>
      <c r="AV98" s="373"/>
      <c r="AW98" s="374"/>
      <c r="AX98" s="375"/>
      <c r="AY98" s="376" t="str">
        <f>IF(TRIM(AX98)="", "", IF(VLOOKUP(AX98,'Footnotes list'!$D$9:$E$58,2,FALSE)=0,"",VLOOKUP(AX98,'Footnotes list'!$D$9:$E$58,2,FALSE) ) )</f>
        <v/>
      </c>
    </row>
    <row r="99" spans="2:51" ht="15" customHeight="1" x14ac:dyDescent="0.35">
      <c r="B99" s="535"/>
      <c r="C99" s="50" t="s">
        <v>140</v>
      </c>
      <c r="D99" s="529"/>
      <c r="E99" s="51" t="s">
        <v>145</v>
      </c>
      <c r="F99" s="52" t="s">
        <v>152</v>
      </c>
      <c r="G99" s="378"/>
      <c r="H99" s="379"/>
      <c r="I99" s="380"/>
      <c r="J99" s="381"/>
      <c r="K99" s="377" t="str">
        <f>IF(TRIM(J99)="", "", IF(VLOOKUP(J99,'Footnotes list'!$D$9:$E$58,2,FALSE)=0,"",VLOOKUP(J99,'Footnotes list'!$D$9:$E$58,2,FALSE) ) )</f>
        <v/>
      </c>
      <c r="L99" s="378"/>
      <c r="M99" s="379"/>
      <c r="N99" s="380"/>
      <c r="O99" s="381"/>
      <c r="P99" s="377" t="str">
        <f>IF(TRIM(O99)="", "", IF(VLOOKUP(O99,'Footnotes list'!$D$9:$E$58,2,FALSE)=0,"",VLOOKUP(O99,'Footnotes list'!$D$9:$E$58,2,FALSE) ) )</f>
        <v/>
      </c>
      <c r="Q99" s="378"/>
      <c r="R99" s="379"/>
      <c r="S99" s="380"/>
      <c r="T99" s="381"/>
      <c r="U99" s="377" t="str">
        <f>IF(TRIM(T99)="", "", IF(VLOOKUP(T99,'Footnotes list'!$D$9:$E$58,2,FALSE)=0,"",VLOOKUP(T99,'Footnotes list'!$D$9:$E$58,2,FALSE) ) )</f>
        <v/>
      </c>
      <c r="V99" s="378"/>
      <c r="W99" s="379"/>
      <c r="X99" s="380"/>
      <c r="Y99" s="381"/>
      <c r="Z99" s="377" t="str">
        <f>IF(TRIM(Y99)="", "", IF(VLOOKUP(Y99,'Footnotes list'!$D$9:$E$58,2,FALSE)=0,"",VLOOKUP(Y99,'Footnotes list'!$D$9:$E$58,2,FALSE) ) )</f>
        <v/>
      </c>
      <c r="AA99" s="129" t="str">
        <f>IF(AND(TRIM(Q99)="",TRIM(V99)=""),"",Q99+V99)</f>
        <v/>
      </c>
      <c r="AB99" s="379"/>
      <c r="AC99" s="380"/>
      <c r="AD99" s="381"/>
      <c r="AE99" s="377" t="str">
        <f>IF(TRIM(AD99)="", "", IF(VLOOKUP(AD99,'Footnotes list'!$D$9:$E$58,2,FALSE)=0,"",VLOOKUP(AD99,'Footnotes list'!$D$9:$E$58,2,FALSE) ) )</f>
        <v/>
      </c>
      <c r="AF99" s="378"/>
      <c r="AG99" s="379"/>
      <c r="AH99" s="380"/>
      <c r="AI99" s="381"/>
      <c r="AJ99" s="377" t="str">
        <f>IF(TRIM(AI99)="", "", IF(VLOOKUP(AI99,'Footnotes list'!$D$9:$E$58,2,FALSE)=0,"",VLOOKUP(AI99,'Footnotes list'!$D$9:$E$58,2,FALSE) ) )</f>
        <v/>
      </c>
      <c r="AK99" s="378"/>
      <c r="AL99" s="379"/>
      <c r="AM99" s="380"/>
      <c r="AN99" s="381"/>
      <c r="AO99" s="377" t="str">
        <f>IF(TRIM(AN99)="", "", IF(VLOOKUP(AN99,'Footnotes list'!$D$9:$E$58,2,FALSE)=0,"",VLOOKUP(AN99,'Footnotes list'!$D$9:$E$58,2,FALSE) ) )</f>
        <v/>
      </c>
      <c r="AP99" s="129" t="str">
        <f>IF(AND(TRIM(AF99)="",TRIM(AK99)=""),"",AF99+AK99)</f>
        <v/>
      </c>
      <c r="AQ99" s="379"/>
      <c r="AR99" s="380"/>
      <c r="AS99" s="381"/>
      <c r="AT99" s="377" t="str">
        <f>IF(TRIM(AS99)="", "", IF(VLOOKUP(AS99,'Footnotes list'!$D$9:$E$58,2,FALSE)=0,"",VLOOKUP(AS99,'Footnotes list'!$D$9:$E$58,2,FALSE) ) )</f>
        <v/>
      </c>
      <c r="AU99" s="403" t="str">
        <f>IF(AND(TRIM(G99)="",TRIM(L99)="",TRIM(AA99)="",TRIM(AP99)=""),"",SUM(G99,L99,AA99,AP99))</f>
        <v/>
      </c>
      <c r="AV99" s="379"/>
      <c r="AW99" s="380"/>
      <c r="AX99" s="381"/>
      <c r="AY99" s="377" t="str">
        <f>IF(TRIM(AX99)="", "", IF(VLOOKUP(AX99,'Footnotes list'!$D$9:$E$58,2,FALSE)=0,"",VLOOKUP(AX99,'Footnotes list'!$D$9:$E$58,2,FALSE) ) )</f>
        <v/>
      </c>
    </row>
    <row r="100" spans="2:51" ht="15" customHeight="1" thickBot="1" x14ac:dyDescent="0.4">
      <c r="B100" s="536"/>
      <c r="C100" s="53" t="s">
        <v>140</v>
      </c>
      <c r="D100" s="530"/>
      <c r="E100" s="47" t="s">
        <v>146</v>
      </c>
      <c r="F100" s="54" t="s">
        <v>234</v>
      </c>
      <c r="G100" s="126" t="str">
        <f>IF(AND(TRIM(G98)="",TRIM(G99)=""),"",G98+G99)</f>
        <v/>
      </c>
      <c r="H100" s="379"/>
      <c r="I100" s="380"/>
      <c r="J100" s="381"/>
      <c r="K100" s="377" t="str">
        <f>IF(TRIM(J100)="", "", IF(VLOOKUP(J100,'Footnotes list'!$D$9:$E$58,2,FALSE)=0,"",VLOOKUP(J100,'Footnotes list'!$D$9:$E$58,2,FALSE) ) )</f>
        <v/>
      </c>
      <c r="L100" s="126" t="str">
        <f>IF(AND(TRIM(L98)="",TRIM(L99)=""),"",L98+L99)</f>
        <v/>
      </c>
      <c r="M100" s="379"/>
      <c r="N100" s="380"/>
      <c r="O100" s="381"/>
      <c r="P100" s="377" t="str">
        <f>IF(TRIM(O100)="", "", IF(VLOOKUP(O100,'Footnotes list'!$D$9:$E$58,2,FALSE)=0,"",VLOOKUP(O100,'Footnotes list'!$D$9:$E$58,2,FALSE) ) )</f>
        <v/>
      </c>
      <c r="Q100" s="126" t="str">
        <f>IF(AND(TRIM(Q98)="",TRIM(Q99)=""),"",Q98+Q99)</f>
        <v/>
      </c>
      <c r="R100" s="379"/>
      <c r="S100" s="380"/>
      <c r="T100" s="381"/>
      <c r="U100" s="377" t="str">
        <f>IF(TRIM(T100)="", "", IF(VLOOKUP(T100,'Footnotes list'!$D$9:$E$58,2,FALSE)=0,"",VLOOKUP(T100,'Footnotes list'!$D$9:$E$58,2,FALSE) ) )</f>
        <v/>
      </c>
      <c r="V100" s="126" t="str">
        <f>IF(AND(TRIM(V98)="",TRIM(V99)=""),"",V98+V99)</f>
        <v/>
      </c>
      <c r="W100" s="379"/>
      <c r="X100" s="380"/>
      <c r="Y100" s="381"/>
      <c r="Z100" s="377" t="str">
        <f>IF(TRIM(Y100)="", "", IF(VLOOKUP(Y100,'Footnotes list'!$D$9:$E$58,2,FALSE)=0,"",VLOOKUP(Y100,'Footnotes list'!$D$9:$E$58,2,FALSE) ) )</f>
        <v/>
      </c>
      <c r="AA100" s="126" t="str">
        <f>IF(AND(TRIM(AA98)="", TRIM(AA99)=""), "", SUM(AA98,AA99))</f>
        <v/>
      </c>
      <c r="AB100" s="379"/>
      <c r="AC100" s="380"/>
      <c r="AD100" s="381"/>
      <c r="AE100" s="377" t="str">
        <f>IF(TRIM(AD100)="", "", IF(VLOOKUP(AD100,'Footnotes list'!$D$9:$E$58,2,FALSE)=0,"",VLOOKUP(AD100,'Footnotes list'!$D$9:$E$58,2,FALSE) ) )</f>
        <v/>
      </c>
      <c r="AF100" s="126" t="str">
        <f>IF(AND(TRIM(AF98)="",TRIM(AF99)=""),"",AF98+AF99)</f>
        <v/>
      </c>
      <c r="AG100" s="379"/>
      <c r="AH100" s="380"/>
      <c r="AI100" s="381"/>
      <c r="AJ100" s="377" t="str">
        <f>IF(TRIM(AI100)="", "", IF(VLOOKUP(AI100,'Footnotes list'!$D$9:$E$58,2,FALSE)=0,"",VLOOKUP(AI100,'Footnotes list'!$D$9:$E$58,2,FALSE) ) )</f>
        <v/>
      </c>
      <c r="AK100" s="126" t="str">
        <f>IF(AND(TRIM(AK98)="",TRIM(AK99)=""),"",AK98+AK99)</f>
        <v/>
      </c>
      <c r="AL100" s="379"/>
      <c r="AM100" s="380"/>
      <c r="AN100" s="381"/>
      <c r="AO100" s="377" t="str">
        <f>IF(TRIM(AN100)="", "", IF(VLOOKUP(AN100,'Footnotes list'!$D$9:$E$58,2,FALSE)=0,"",VLOOKUP(AN100,'Footnotes list'!$D$9:$E$58,2,FALSE) ) )</f>
        <v/>
      </c>
      <c r="AP100" s="126" t="str">
        <f>IF(AND(TRIM(AP98)="", TRIM(AP99)=""), "", SUM(AP98,AP99))</f>
        <v/>
      </c>
      <c r="AQ100" s="379"/>
      <c r="AR100" s="380"/>
      <c r="AS100" s="381"/>
      <c r="AT100" s="377" t="str">
        <f>IF(TRIM(AS100)="", "", IF(VLOOKUP(AS100,'Footnotes list'!$D$9:$E$58,2,FALSE)=0,"",VLOOKUP(AS100,'Footnotes list'!$D$9:$E$58,2,FALSE) ) )</f>
        <v/>
      </c>
      <c r="AU100" s="126" t="str">
        <f>IF(AND(TRIM(AU98)="", TRIM(AU99)=""), "", SUM(AU98,AU99) )</f>
        <v/>
      </c>
      <c r="AV100" s="379"/>
      <c r="AW100" s="380"/>
      <c r="AX100" s="381"/>
      <c r="AY100" s="377" t="str">
        <f>IF(TRIM(AX100)="", "", IF(VLOOKUP(AX100,'Footnotes list'!$D$9:$E$58,2,FALSE)=0,"",VLOOKUP(AX100,'Footnotes list'!$D$9:$E$58,2,FALSE) ) )</f>
        <v/>
      </c>
    </row>
    <row r="101" spans="2:51" ht="15" customHeight="1" x14ac:dyDescent="0.35">
      <c r="B101" s="534" t="s">
        <v>141</v>
      </c>
      <c r="C101" s="41" t="s">
        <v>141</v>
      </c>
      <c r="D101" s="528" t="s">
        <v>104</v>
      </c>
      <c r="E101" s="42" t="s">
        <v>144</v>
      </c>
      <c r="F101" s="43" t="s">
        <v>151</v>
      </c>
      <c r="G101" s="372"/>
      <c r="H101" s="373"/>
      <c r="I101" s="374"/>
      <c r="J101" s="375"/>
      <c r="K101" s="376" t="str">
        <f>IF(TRIM(J101)="", "", IF(VLOOKUP(J101,'Footnotes list'!$D$9:$E$58,2,FALSE)=0,"",VLOOKUP(J101,'Footnotes list'!$D$9:$E$58,2,FALSE) ) )</f>
        <v/>
      </c>
      <c r="L101" s="372"/>
      <c r="M101" s="373"/>
      <c r="N101" s="374"/>
      <c r="O101" s="375"/>
      <c r="P101" s="376" t="str">
        <f>IF(TRIM(O101)="", "", IF(VLOOKUP(O101,'Footnotes list'!$D$9:$E$58,2,FALSE)=0,"",VLOOKUP(O101,'Footnotes list'!$D$9:$E$58,2,FALSE) ) )</f>
        <v/>
      </c>
      <c r="Q101" s="372"/>
      <c r="R101" s="373"/>
      <c r="S101" s="374"/>
      <c r="T101" s="375"/>
      <c r="U101" s="376" t="str">
        <f>IF(TRIM(T101)="", "", IF(VLOOKUP(T101,'Footnotes list'!$D$9:$E$58,2,FALSE)=0,"",VLOOKUP(T101,'Footnotes list'!$D$9:$E$58,2,FALSE) ) )</f>
        <v/>
      </c>
      <c r="V101" s="372"/>
      <c r="W101" s="373"/>
      <c r="X101" s="374"/>
      <c r="Y101" s="375"/>
      <c r="Z101" s="376" t="str">
        <f>IF(TRIM(Y101)="", "", IF(VLOOKUP(Y101,'Footnotes list'!$D$9:$E$58,2,FALSE)=0,"",VLOOKUP(Y101,'Footnotes list'!$D$9:$E$58,2,FALSE) ) )</f>
        <v/>
      </c>
      <c r="AA101" s="382" t="str">
        <f>IF(AND(TRIM(Q101)="",TRIM(V101)=""),"",Q101+V101)</f>
        <v/>
      </c>
      <c r="AB101" s="373"/>
      <c r="AC101" s="374"/>
      <c r="AD101" s="375"/>
      <c r="AE101" s="376" t="str">
        <f>IF(TRIM(AD101)="", "", IF(VLOOKUP(AD101,'Footnotes list'!$D$9:$E$58,2,FALSE)=0,"",VLOOKUP(AD101,'Footnotes list'!$D$9:$E$58,2,FALSE) ) )</f>
        <v/>
      </c>
      <c r="AF101" s="372"/>
      <c r="AG101" s="373"/>
      <c r="AH101" s="374"/>
      <c r="AI101" s="375"/>
      <c r="AJ101" s="376" t="str">
        <f>IF(TRIM(AI101)="", "", IF(VLOOKUP(AI101,'Footnotes list'!$D$9:$E$58,2,FALSE)=0,"",VLOOKUP(AI101,'Footnotes list'!$D$9:$E$58,2,FALSE) ) )</f>
        <v/>
      </c>
      <c r="AK101" s="372"/>
      <c r="AL101" s="373"/>
      <c r="AM101" s="374"/>
      <c r="AN101" s="375"/>
      <c r="AO101" s="376" t="str">
        <f>IF(TRIM(AN101)="", "", IF(VLOOKUP(AN101,'Footnotes list'!$D$9:$E$58,2,FALSE)=0,"",VLOOKUP(AN101,'Footnotes list'!$D$9:$E$58,2,FALSE) ) )</f>
        <v/>
      </c>
      <c r="AP101" s="382" t="str">
        <f>IF(AND(TRIM(AF101)="",TRIM(AK101)=""),"",AF101+AK101)</f>
        <v/>
      </c>
      <c r="AQ101" s="373"/>
      <c r="AR101" s="374"/>
      <c r="AS101" s="375"/>
      <c r="AT101" s="376" t="str">
        <f>IF(TRIM(AS101)="", "", IF(VLOOKUP(AS101,'Footnotes list'!$D$9:$E$58,2,FALSE)=0,"",VLOOKUP(AS101,'Footnotes list'!$D$9:$E$58,2,FALSE) ) )</f>
        <v/>
      </c>
      <c r="AU101" s="382" t="str">
        <f>IF(AND(TRIM(G101)="",TRIM(L101)="",TRIM(AA101)="",TRIM(AP101)=""),"",SUM(G101,L101,AA101,AP101))</f>
        <v/>
      </c>
      <c r="AV101" s="373"/>
      <c r="AW101" s="374"/>
      <c r="AX101" s="375"/>
      <c r="AY101" s="376" t="str">
        <f>IF(TRIM(AX101)="", "", IF(VLOOKUP(AX101,'Footnotes list'!$D$9:$E$58,2,FALSE)=0,"",VLOOKUP(AX101,'Footnotes list'!$D$9:$E$58,2,FALSE) ) )</f>
        <v/>
      </c>
    </row>
    <row r="102" spans="2:51" ht="15" customHeight="1" x14ac:dyDescent="0.35">
      <c r="B102" s="535"/>
      <c r="C102" s="50" t="s">
        <v>141</v>
      </c>
      <c r="D102" s="529"/>
      <c r="E102" s="51" t="s">
        <v>145</v>
      </c>
      <c r="F102" s="52" t="s">
        <v>152</v>
      </c>
      <c r="G102" s="378"/>
      <c r="H102" s="379"/>
      <c r="I102" s="380"/>
      <c r="J102" s="381"/>
      <c r="K102" s="377" t="str">
        <f>IF(TRIM(J102)="", "", IF(VLOOKUP(J102,'Footnotes list'!$D$9:$E$58,2,FALSE)=0,"",VLOOKUP(J102,'Footnotes list'!$D$9:$E$58,2,FALSE) ) )</f>
        <v/>
      </c>
      <c r="L102" s="378"/>
      <c r="M102" s="379"/>
      <c r="N102" s="380"/>
      <c r="O102" s="381"/>
      <c r="P102" s="377" t="str">
        <f>IF(TRIM(O102)="", "", IF(VLOOKUP(O102,'Footnotes list'!$D$9:$E$58,2,FALSE)=0,"",VLOOKUP(O102,'Footnotes list'!$D$9:$E$58,2,FALSE) ) )</f>
        <v/>
      </c>
      <c r="Q102" s="378"/>
      <c r="R102" s="379"/>
      <c r="S102" s="380"/>
      <c r="T102" s="381"/>
      <c r="U102" s="377" t="str">
        <f>IF(TRIM(T102)="", "", IF(VLOOKUP(T102,'Footnotes list'!$D$9:$E$58,2,FALSE)=0,"",VLOOKUP(T102,'Footnotes list'!$D$9:$E$58,2,FALSE) ) )</f>
        <v/>
      </c>
      <c r="V102" s="378"/>
      <c r="W102" s="379"/>
      <c r="X102" s="380"/>
      <c r="Y102" s="381"/>
      <c r="Z102" s="377" t="str">
        <f>IF(TRIM(Y102)="", "", IF(VLOOKUP(Y102,'Footnotes list'!$D$9:$E$58,2,FALSE)=0,"",VLOOKUP(Y102,'Footnotes list'!$D$9:$E$58,2,FALSE) ) )</f>
        <v/>
      </c>
      <c r="AA102" s="129" t="str">
        <f>IF(AND(TRIM(Q102)="",TRIM(V102)=""),"",Q102+V102)</f>
        <v/>
      </c>
      <c r="AB102" s="379"/>
      <c r="AC102" s="380"/>
      <c r="AD102" s="381"/>
      <c r="AE102" s="377" t="str">
        <f>IF(TRIM(AD102)="", "", IF(VLOOKUP(AD102,'Footnotes list'!$D$9:$E$58,2,FALSE)=0,"",VLOOKUP(AD102,'Footnotes list'!$D$9:$E$58,2,FALSE) ) )</f>
        <v/>
      </c>
      <c r="AF102" s="378"/>
      <c r="AG102" s="379"/>
      <c r="AH102" s="380"/>
      <c r="AI102" s="381"/>
      <c r="AJ102" s="377" t="str">
        <f>IF(TRIM(AI102)="", "", IF(VLOOKUP(AI102,'Footnotes list'!$D$9:$E$58,2,FALSE)=0,"",VLOOKUP(AI102,'Footnotes list'!$D$9:$E$58,2,FALSE) ) )</f>
        <v/>
      </c>
      <c r="AK102" s="378"/>
      <c r="AL102" s="379"/>
      <c r="AM102" s="380"/>
      <c r="AN102" s="381"/>
      <c r="AO102" s="377" t="str">
        <f>IF(TRIM(AN102)="", "", IF(VLOOKUP(AN102,'Footnotes list'!$D$9:$E$58,2,FALSE)=0,"",VLOOKUP(AN102,'Footnotes list'!$D$9:$E$58,2,FALSE) ) )</f>
        <v/>
      </c>
      <c r="AP102" s="129" t="str">
        <f>IF(AND(TRIM(AF102)="",TRIM(AK102)=""),"",AF102+AK102)</f>
        <v/>
      </c>
      <c r="AQ102" s="379"/>
      <c r="AR102" s="380"/>
      <c r="AS102" s="381"/>
      <c r="AT102" s="377" t="str">
        <f>IF(TRIM(AS102)="", "", IF(VLOOKUP(AS102,'Footnotes list'!$D$9:$E$58,2,FALSE)=0,"",VLOOKUP(AS102,'Footnotes list'!$D$9:$E$58,2,FALSE) ) )</f>
        <v/>
      </c>
      <c r="AU102" s="403" t="str">
        <f>IF(AND(TRIM(G102)="",TRIM(L102)="",TRIM(AA102)="",TRIM(AP102)=""),"",SUM(G102,L102,AA102,AP102))</f>
        <v/>
      </c>
      <c r="AV102" s="379"/>
      <c r="AW102" s="380"/>
      <c r="AX102" s="381"/>
      <c r="AY102" s="377" t="str">
        <f>IF(TRIM(AX102)="", "", IF(VLOOKUP(AX102,'Footnotes list'!$D$9:$E$58,2,FALSE)=0,"",VLOOKUP(AX102,'Footnotes list'!$D$9:$E$58,2,FALSE) ) )</f>
        <v/>
      </c>
    </row>
    <row r="103" spans="2:51" ht="15" customHeight="1" thickBot="1" x14ac:dyDescent="0.4">
      <c r="B103" s="536"/>
      <c r="C103" s="53" t="s">
        <v>141</v>
      </c>
      <c r="D103" s="530"/>
      <c r="E103" s="47" t="s">
        <v>146</v>
      </c>
      <c r="F103" s="54" t="s">
        <v>234</v>
      </c>
      <c r="G103" s="126" t="str">
        <f>IF(AND(TRIM(G101)="",TRIM(G102)=""),"",G101+G102)</f>
        <v/>
      </c>
      <c r="H103" s="379"/>
      <c r="I103" s="380"/>
      <c r="J103" s="381"/>
      <c r="K103" s="377" t="str">
        <f>IF(TRIM(J103)="", "", IF(VLOOKUP(J103,'Footnotes list'!$D$9:$E$58,2,FALSE)=0,"",VLOOKUP(J103,'Footnotes list'!$D$9:$E$58,2,FALSE) ) )</f>
        <v/>
      </c>
      <c r="L103" s="126" t="str">
        <f>IF(AND(TRIM(L101)="",TRIM(L102)=""),"",L101+L102)</f>
        <v/>
      </c>
      <c r="M103" s="379"/>
      <c r="N103" s="380"/>
      <c r="O103" s="381"/>
      <c r="P103" s="377" t="str">
        <f>IF(TRIM(O103)="", "", IF(VLOOKUP(O103,'Footnotes list'!$D$9:$E$58,2,FALSE)=0,"",VLOOKUP(O103,'Footnotes list'!$D$9:$E$58,2,FALSE) ) )</f>
        <v/>
      </c>
      <c r="Q103" s="126" t="str">
        <f>IF(AND(TRIM(Q101)="",TRIM(Q102)=""),"",Q101+Q102)</f>
        <v/>
      </c>
      <c r="R103" s="379"/>
      <c r="S103" s="380"/>
      <c r="T103" s="381"/>
      <c r="U103" s="377" t="str">
        <f>IF(TRIM(T103)="", "", IF(VLOOKUP(T103,'Footnotes list'!$D$9:$E$58,2,FALSE)=0,"",VLOOKUP(T103,'Footnotes list'!$D$9:$E$58,2,FALSE) ) )</f>
        <v/>
      </c>
      <c r="V103" s="126" t="str">
        <f>IF(AND(TRIM(V101)="",TRIM(V102)=""),"",V101+V102)</f>
        <v/>
      </c>
      <c r="W103" s="379"/>
      <c r="X103" s="380"/>
      <c r="Y103" s="381"/>
      <c r="Z103" s="377" t="str">
        <f>IF(TRIM(Y103)="", "", IF(VLOOKUP(Y103,'Footnotes list'!$D$9:$E$58,2,FALSE)=0,"",VLOOKUP(Y103,'Footnotes list'!$D$9:$E$58,2,FALSE) ) )</f>
        <v/>
      </c>
      <c r="AA103" s="126" t="str">
        <f>IF(AND(TRIM(AA101)="", TRIM(AA102)=""), "", SUM(AA101,AA102))</f>
        <v/>
      </c>
      <c r="AB103" s="379"/>
      <c r="AC103" s="380"/>
      <c r="AD103" s="381"/>
      <c r="AE103" s="377" t="str">
        <f>IF(TRIM(AD103)="", "", IF(VLOOKUP(AD103,'Footnotes list'!$D$9:$E$58,2,FALSE)=0,"",VLOOKUP(AD103,'Footnotes list'!$D$9:$E$58,2,FALSE) ) )</f>
        <v/>
      </c>
      <c r="AF103" s="126" t="str">
        <f>IF(AND(TRIM(AF101)="",TRIM(AF102)=""),"",AF101+AF102)</f>
        <v/>
      </c>
      <c r="AG103" s="379"/>
      <c r="AH103" s="380"/>
      <c r="AI103" s="381"/>
      <c r="AJ103" s="377" t="str">
        <f>IF(TRIM(AI103)="", "", IF(VLOOKUP(AI103,'Footnotes list'!$D$9:$E$58,2,FALSE)=0,"",VLOOKUP(AI103,'Footnotes list'!$D$9:$E$58,2,FALSE) ) )</f>
        <v/>
      </c>
      <c r="AK103" s="126" t="str">
        <f>IF(AND(TRIM(AK101)="",TRIM(AK102)=""),"",AK101+AK102)</f>
        <v/>
      </c>
      <c r="AL103" s="379"/>
      <c r="AM103" s="380"/>
      <c r="AN103" s="381"/>
      <c r="AO103" s="377" t="str">
        <f>IF(TRIM(AN103)="", "", IF(VLOOKUP(AN103,'Footnotes list'!$D$9:$E$58,2,FALSE)=0,"",VLOOKUP(AN103,'Footnotes list'!$D$9:$E$58,2,FALSE) ) )</f>
        <v/>
      </c>
      <c r="AP103" s="126" t="str">
        <f>IF(AND(TRIM(AP101)="", TRIM(AP102)=""), "", SUM(AP101,AP102))</f>
        <v/>
      </c>
      <c r="AQ103" s="379"/>
      <c r="AR103" s="380"/>
      <c r="AS103" s="381"/>
      <c r="AT103" s="377" t="str">
        <f>IF(TRIM(AS103)="", "", IF(VLOOKUP(AS103,'Footnotes list'!$D$9:$E$58,2,FALSE)=0,"",VLOOKUP(AS103,'Footnotes list'!$D$9:$E$58,2,FALSE) ) )</f>
        <v/>
      </c>
      <c r="AU103" s="126" t="str">
        <f>IF(AND(TRIM(AU101)="", TRIM(AU102)=""), "", SUM(AU101,AU102) )</f>
        <v/>
      </c>
      <c r="AV103" s="379"/>
      <c r="AW103" s="380"/>
      <c r="AX103" s="381"/>
      <c r="AY103" s="377" t="str">
        <f>IF(TRIM(AX103)="", "", IF(VLOOKUP(AX103,'Footnotes list'!$D$9:$E$58,2,FALSE)=0,"",VLOOKUP(AX103,'Footnotes list'!$D$9:$E$58,2,FALSE) ) )</f>
        <v/>
      </c>
    </row>
    <row r="104" spans="2:51" ht="15" customHeight="1" x14ac:dyDescent="0.35">
      <c r="B104" s="534" t="s">
        <v>142</v>
      </c>
      <c r="C104" s="41" t="s">
        <v>142</v>
      </c>
      <c r="D104" s="528" t="s">
        <v>162</v>
      </c>
      <c r="E104" s="42" t="s">
        <v>144</v>
      </c>
      <c r="F104" s="43" t="s">
        <v>151</v>
      </c>
      <c r="G104" s="372"/>
      <c r="H104" s="373"/>
      <c r="I104" s="374"/>
      <c r="J104" s="375"/>
      <c r="K104" s="376" t="str">
        <f>IF(TRIM(J104)="", "", IF(VLOOKUP(J104,'Footnotes list'!$D$9:$E$58,2,FALSE)=0,"",VLOOKUP(J104,'Footnotes list'!$D$9:$E$58,2,FALSE) ) )</f>
        <v/>
      </c>
      <c r="L104" s="372"/>
      <c r="M104" s="373"/>
      <c r="N104" s="374"/>
      <c r="O104" s="375"/>
      <c r="P104" s="376" t="str">
        <f>IF(TRIM(O104)="", "", IF(VLOOKUP(O104,'Footnotes list'!$D$9:$E$58,2,FALSE)=0,"",VLOOKUP(O104,'Footnotes list'!$D$9:$E$58,2,FALSE) ) )</f>
        <v/>
      </c>
      <c r="Q104" s="372"/>
      <c r="R104" s="373"/>
      <c r="S104" s="374"/>
      <c r="T104" s="375"/>
      <c r="U104" s="376" t="str">
        <f>IF(TRIM(T104)="", "", IF(VLOOKUP(T104,'Footnotes list'!$D$9:$E$58,2,FALSE)=0,"",VLOOKUP(T104,'Footnotes list'!$D$9:$E$58,2,FALSE) ) )</f>
        <v/>
      </c>
      <c r="V104" s="372"/>
      <c r="W104" s="373"/>
      <c r="X104" s="374"/>
      <c r="Y104" s="375"/>
      <c r="Z104" s="376" t="str">
        <f>IF(TRIM(Y104)="", "", IF(VLOOKUP(Y104,'Footnotes list'!$D$9:$E$58,2,FALSE)=0,"",VLOOKUP(Y104,'Footnotes list'!$D$9:$E$58,2,FALSE) ) )</f>
        <v/>
      </c>
      <c r="AA104" s="382" t="str">
        <f>IF(AND(TRIM(Q104)="",TRIM(V104)=""),"",Q104+V104)</f>
        <v/>
      </c>
      <c r="AB104" s="373"/>
      <c r="AC104" s="374"/>
      <c r="AD104" s="375"/>
      <c r="AE104" s="376" t="str">
        <f>IF(TRIM(AD104)="", "", IF(VLOOKUP(AD104,'Footnotes list'!$D$9:$E$58,2,FALSE)=0,"",VLOOKUP(AD104,'Footnotes list'!$D$9:$E$58,2,FALSE) ) )</f>
        <v/>
      </c>
      <c r="AF104" s="372"/>
      <c r="AG104" s="373"/>
      <c r="AH104" s="374"/>
      <c r="AI104" s="375"/>
      <c r="AJ104" s="376" t="str">
        <f>IF(TRIM(AI104)="", "", IF(VLOOKUP(AI104,'Footnotes list'!$D$9:$E$58,2,FALSE)=0,"",VLOOKUP(AI104,'Footnotes list'!$D$9:$E$58,2,FALSE) ) )</f>
        <v/>
      </c>
      <c r="AK104" s="372"/>
      <c r="AL104" s="373"/>
      <c r="AM104" s="374"/>
      <c r="AN104" s="375"/>
      <c r="AO104" s="376" t="str">
        <f>IF(TRIM(AN104)="", "", IF(VLOOKUP(AN104,'Footnotes list'!$D$9:$E$58,2,FALSE)=0,"",VLOOKUP(AN104,'Footnotes list'!$D$9:$E$58,2,FALSE) ) )</f>
        <v/>
      </c>
      <c r="AP104" s="382" t="str">
        <f>IF(AND(TRIM(AF104)="",TRIM(AK104)=""),"",AF104+AK104)</f>
        <v/>
      </c>
      <c r="AQ104" s="373"/>
      <c r="AR104" s="374"/>
      <c r="AS104" s="375"/>
      <c r="AT104" s="376" t="str">
        <f>IF(TRIM(AS104)="", "", IF(VLOOKUP(AS104,'Footnotes list'!$D$9:$E$58,2,FALSE)=0,"",VLOOKUP(AS104,'Footnotes list'!$D$9:$E$58,2,FALSE) ) )</f>
        <v/>
      </c>
      <c r="AU104" s="382" t="str">
        <f>IF(AND(TRIM(G104)="",TRIM(L104)="",TRIM(AA104)="",TRIM(AP104)=""),"",SUM(G104,L104,AA104,AP104))</f>
        <v/>
      </c>
      <c r="AV104" s="373"/>
      <c r="AW104" s="374"/>
      <c r="AX104" s="375"/>
      <c r="AY104" s="376" t="str">
        <f>IF(TRIM(AX104)="", "", IF(VLOOKUP(AX104,'Footnotes list'!$D$9:$E$58,2,FALSE)=0,"",VLOOKUP(AX104,'Footnotes list'!$D$9:$E$58,2,FALSE) ) )</f>
        <v/>
      </c>
    </row>
    <row r="105" spans="2:51" ht="15" customHeight="1" x14ac:dyDescent="0.35">
      <c r="B105" s="535"/>
      <c r="C105" s="50" t="s">
        <v>142</v>
      </c>
      <c r="D105" s="529"/>
      <c r="E105" s="51" t="s">
        <v>145</v>
      </c>
      <c r="F105" s="52" t="s">
        <v>152</v>
      </c>
      <c r="G105" s="378"/>
      <c r="H105" s="379"/>
      <c r="I105" s="380"/>
      <c r="J105" s="381"/>
      <c r="K105" s="377" t="str">
        <f>IF(TRIM(J105)="", "", IF(VLOOKUP(J105,'Footnotes list'!$D$9:$E$58,2,FALSE)=0,"",VLOOKUP(J105,'Footnotes list'!$D$9:$E$58,2,FALSE) ) )</f>
        <v/>
      </c>
      <c r="L105" s="378"/>
      <c r="M105" s="379"/>
      <c r="N105" s="380"/>
      <c r="O105" s="381"/>
      <c r="P105" s="377" t="str">
        <f>IF(TRIM(O105)="", "", IF(VLOOKUP(O105,'Footnotes list'!$D$9:$E$58,2,FALSE)=0,"",VLOOKUP(O105,'Footnotes list'!$D$9:$E$58,2,FALSE) ) )</f>
        <v/>
      </c>
      <c r="Q105" s="378"/>
      <c r="R105" s="379"/>
      <c r="S105" s="380"/>
      <c r="T105" s="381"/>
      <c r="U105" s="377" t="str">
        <f>IF(TRIM(T105)="", "", IF(VLOOKUP(T105,'Footnotes list'!$D$9:$E$58,2,FALSE)=0,"",VLOOKUP(T105,'Footnotes list'!$D$9:$E$58,2,FALSE) ) )</f>
        <v/>
      </c>
      <c r="V105" s="378"/>
      <c r="W105" s="379"/>
      <c r="X105" s="380"/>
      <c r="Y105" s="381"/>
      <c r="Z105" s="377" t="str">
        <f>IF(TRIM(Y105)="", "", IF(VLOOKUP(Y105,'Footnotes list'!$D$9:$E$58,2,FALSE)=0,"",VLOOKUP(Y105,'Footnotes list'!$D$9:$E$58,2,FALSE) ) )</f>
        <v/>
      </c>
      <c r="AA105" s="129" t="str">
        <f>IF(AND(TRIM(Q105)="",TRIM(V105)=""),"",Q105+V105)</f>
        <v/>
      </c>
      <c r="AB105" s="379"/>
      <c r="AC105" s="380"/>
      <c r="AD105" s="381"/>
      <c r="AE105" s="377" t="str">
        <f>IF(TRIM(AD105)="", "", IF(VLOOKUP(AD105,'Footnotes list'!$D$9:$E$58,2,FALSE)=0,"",VLOOKUP(AD105,'Footnotes list'!$D$9:$E$58,2,FALSE) ) )</f>
        <v/>
      </c>
      <c r="AF105" s="378"/>
      <c r="AG105" s="379"/>
      <c r="AH105" s="380"/>
      <c r="AI105" s="381"/>
      <c r="AJ105" s="377" t="str">
        <f>IF(TRIM(AI105)="", "", IF(VLOOKUP(AI105,'Footnotes list'!$D$9:$E$58,2,FALSE)=0,"",VLOOKUP(AI105,'Footnotes list'!$D$9:$E$58,2,FALSE) ) )</f>
        <v/>
      </c>
      <c r="AK105" s="378"/>
      <c r="AL105" s="379"/>
      <c r="AM105" s="380"/>
      <c r="AN105" s="381"/>
      <c r="AO105" s="377" t="str">
        <f>IF(TRIM(AN105)="", "", IF(VLOOKUP(AN105,'Footnotes list'!$D$9:$E$58,2,FALSE)=0,"",VLOOKUP(AN105,'Footnotes list'!$D$9:$E$58,2,FALSE) ) )</f>
        <v/>
      </c>
      <c r="AP105" s="129" t="str">
        <f>IF(AND(TRIM(AF105)="",TRIM(AK105)=""),"",AF105+AK105)</f>
        <v/>
      </c>
      <c r="AQ105" s="379"/>
      <c r="AR105" s="380"/>
      <c r="AS105" s="381"/>
      <c r="AT105" s="377" t="str">
        <f>IF(TRIM(AS105)="", "", IF(VLOOKUP(AS105,'Footnotes list'!$D$9:$E$58,2,FALSE)=0,"",VLOOKUP(AS105,'Footnotes list'!$D$9:$E$58,2,FALSE) ) )</f>
        <v/>
      </c>
      <c r="AU105" s="403" t="str">
        <f>IF(AND(TRIM(G105)="",TRIM(L105)="",TRIM(AA105)="",TRIM(AP105)=""),"",SUM(G105,L105,AA105,AP105))</f>
        <v/>
      </c>
      <c r="AV105" s="379"/>
      <c r="AW105" s="380"/>
      <c r="AX105" s="381"/>
      <c r="AY105" s="377" t="str">
        <f>IF(TRIM(AX105)="", "", IF(VLOOKUP(AX105,'Footnotes list'!$D$9:$E$58,2,FALSE)=0,"",VLOOKUP(AX105,'Footnotes list'!$D$9:$E$58,2,FALSE) ) )</f>
        <v/>
      </c>
    </row>
    <row r="106" spans="2:51" ht="15" customHeight="1" thickBot="1" x14ac:dyDescent="0.4">
      <c r="B106" s="536"/>
      <c r="C106" s="53" t="s">
        <v>142</v>
      </c>
      <c r="D106" s="530"/>
      <c r="E106" s="47" t="s">
        <v>146</v>
      </c>
      <c r="F106" s="54" t="s">
        <v>234</v>
      </c>
      <c r="G106" s="126" t="str">
        <f>IF(AND(TRIM(G104)="",TRIM(G105)=""),"",G104+G105)</f>
        <v/>
      </c>
      <c r="H106" s="379"/>
      <c r="I106" s="380"/>
      <c r="J106" s="381"/>
      <c r="K106" s="377" t="str">
        <f>IF(TRIM(J106)="", "", IF(VLOOKUP(J106,'Footnotes list'!$D$9:$E$58,2,FALSE)=0,"",VLOOKUP(J106,'Footnotes list'!$D$9:$E$58,2,FALSE) ) )</f>
        <v/>
      </c>
      <c r="L106" s="126" t="str">
        <f>IF(AND(TRIM(L104)="",TRIM(L105)=""),"",L104+L105)</f>
        <v/>
      </c>
      <c r="M106" s="379"/>
      <c r="N106" s="380"/>
      <c r="O106" s="381"/>
      <c r="P106" s="377" t="str">
        <f>IF(TRIM(O106)="", "", IF(VLOOKUP(O106,'Footnotes list'!$D$9:$E$58,2,FALSE)=0,"",VLOOKUP(O106,'Footnotes list'!$D$9:$E$58,2,FALSE) ) )</f>
        <v/>
      </c>
      <c r="Q106" s="126" t="str">
        <f>IF(AND(TRIM(Q104)="",TRIM(Q105)=""),"",Q104+Q105)</f>
        <v/>
      </c>
      <c r="R106" s="379"/>
      <c r="S106" s="380"/>
      <c r="T106" s="381"/>
      <c r="U106" s="377" t="str">
        <f>IF(TRIM(T106)="", "", IF(VLOOKUP(T106,'Footnotes list'!$D$9:$E$58,2,FALSE)=0,"",VLOOKUP(T106,'Footnotes list'!$D$9:$E$58,2,FALSE) ) )</f>
        <v/>
      </c>
      <c r="V106" s="126" t="str">
        <f>IF(AND(TRIM(V104)="",TRIM(V105)=""),"",V104+V105)</f>
        <v/>
      </c>
      <c r="W106" s="379"/>
      <c r="X106" s="380"/>
      <c r="Y106" s="381"/>
      <c r="Z106" s="377" t="str">
        <f>IF(TRIM(Y106)="", "", IF(VLOOKUP(Y106,'Footnotes list'!$D$9:$E$58,2,FALSE)=0,"",VLOOKUP(Y106,'Footnotes list'!$D$9:$E$58,2,FALSE) ) )</f>
        <v/>
      </c>
      <c r="AA106" s="126" t="str">
        <f>IF(AND(TRIM(AA104)="", TRIM(AA105)=""), "", SUM(AA104,AA105))</f>
        <v/>
      </c>
      <c r="AB106" s="379"/>
      <c r="AC106" s="380"/>
      <c r="AD106" s="381"/>
      <c r="AE106" s="377" t="str">
        <f>IF(TRIM(AD106)="", "", IF(VLOOKUP(AD106,'Footnotes list'!$D$9:$E$58,2,FALSE)=0,"",VLOOKUP(AD106,'Footnotes list'!$D$9:$E$58,2,FALSE) ) )</f>
        <v/>
      </c>
      <c r="AF106" s="126" t="str">
        <f>IF(AND(TRIM(AF104)="",TRIM(AF105)=""),"",AF104+AF105)</f>
        <v/>
      </c>
      <c r="AG106" s="379"/>
      <c r="AH106" s="380"/>
      <c r="AI106" s="381"/>
      <c r="AJ106" s="377" t="str">
        <f>IF(TRIM(AI106)="", "", IF(VLOOKUP(AI106,'Footnotes list'!$D$9:$E$58,2,FALSE)=0,"",VLOOKUP(AI106,'Footnotes list'!$D$9:$E$58,2,FALSE) ) )</f>
        <v/>
      </c>
      <c r="AK106" s="126" t="str">
        <f>IF(AND(TRIM(AK104)="",TRIM(AK105)=""),"",AK104+AK105)</f>
        <v/>
      </c>
      <c r="AL106" s="379"/>
      <c r="AM106" s="380"/>
      <c r="AN106" s="381"/>
      <c r="AO106" s="377" t="str">
        <f>IF(TRIM(AN106)="", "", IF(VLOOKUP(AN106,'Footnotes list'!$D$9:$E$58,2,FALSE)=0,"",VLOOKUP(AN106,'Footnotes list'!$D$9:$E$58,2,FALSE) ) )</f>
        <v/>
      </c>
      <c r="AP106" s="126" t="str">
        <f>IF(AND(TRIM(AP104)="", TRIM(AP105)=""), "", SUM(AP104,AP105))</f>
        <v/>
      </c>
      <c r="AQ106" s="379"/>
      <c r="AR106" s="380"/>
      <c r="AS106" s="381"/>
      <c r="AT106" s="377" t="str">
        <f>IF(TRIM(AS106)="", "", IF(VLOOKUP(AS106,'Footnotes list'!$D$9:$E$58,2,FALSE)=0,"",VLOOKUP(AS106,'Footnotes list'!$D$9:$E$58,2,FALSE) ) )</f>
        <v/>
      </c>
      <c r="AU106" s="126" t="str">
        <f>IF(AND(TRIM(AU104)="", TRIM(AU105)=""), "", SUM(AU104,AU105) )</f>
        <v/>
      </c>
      <c r="AV106" s="379"/>
      <c r="AW106" s="380"/>
      <c r="AX106" s="381"/>
      <c r="AY106" s="377" t="str">
        <f>IF(TRIM(AX106)="", "", IF(VLOOKUP(AX106,'Footnotes list'!$D$9:$E$58,2,FALSE)=0,"",VLOOKUP(AX106,'Footnotes list'!$D$9:$E$58,2,FALSE) ) )</f>
        <v/>
      </c>
    </row>
    <row r="107" spans="2:51" ht="15" customHeight="1" x14ac:dyDescent="0.35">
      <c r="B107" s="534" t="s">
        <v>235</v>
      </c>
      <c r="C107" s="41" t="s">
        <v>235</v>
      </c>
      <c r="D107" s="528" t="s">
        <v>236</v>
      </c>
      <c r="E107" s="42" t="s">
        <v>144</v>
      </c>
      <c r="F107" s="43" t="s">
        <v>151</v>
      </c>
      <c r="G107" s="130">
        <f>SUM(G8,G11,G14,G17,G20,G26,G29,G32,G35,G38,G41,G44,G47,G50,G53,G56,G59,G62,G65,G68,G71,G74,G77,G80,G86,G89,G92,G95,G98,G101)</f>
        <v>0</v>
      </c>
      <c r="H107" s="373"/>
      <c r="I107" s="374"/>
      <c r="J107" s="375"/>
      <c r="K107" s="376" t="str">
        <f>IF(TRIM(J107)="", "", IF(VLOOKUP(J107,'Footnotes list'!$D$9:$E$58,2,FALSE)=0,"",VLOOKUP(J107,'Footnotes list'!$D$9:$E$58,2,FALSE) ) )</f>
        <v/>
      </c>
      <c r="L107" s="130">
        <f>SUM(L8,L11,L14,L17,L20,L26,L29,L32,L35,L38,L41,L44,L47,L50,L53,L56,L59,L62,L65,L68,L71,L74,L77,L80,L86,L89,L92,L95,L98,L101)</f>
        <v>0</v>
      </c>
      <c r="M107" s="373"/>
      <c r="N107" s="374"/>
      <c r="O107" s="375"/>
      <c r="P107" s="376" t="str">
        <f>IF(TRIM(O107)="", "", IF(VLOOKUP(O107,'Footnotes list'!$D$9:$E$58,2,FALSE)=0,"",VLOOKUP(O107,'Footnotes list'!$D$9:$E$58,2,FALSE) ) )</f>
        <v/>
      </c>
      <c r="Q107" s="130">
        <f>SUM(Q8,Q11,Q14,Q17,Q20,Q26,Q29,Q32,Q35,Q38,Q41,Q44,Q47,Q50,Q53,Q56,Q59,Q62,Q65,Q68,Q71,Q74,Q77,Q80,Q86,Q89,Q92,Q95,Q98,Q101)</f>
        <v>0</v>
      </c>
      <c r="R107" s="373"/>
      <c r="S107" s="374"/>
      <c r="T107" s="375"/>
      <c r="U107" s="376" t="str">
        <f>IF(TRIM(T107)="", "", IF(VLOOKUP(T107,'Footnotes list'!$D$9:$E$58,2,FALSE)=0,"",VLOOKUP(T107,'Footnotes list'!$D$9:$E$58,2,FALSE) ) )</f>
        <v/>
      </c>
      <c r="V107" s="130">
        <f>SUM(V8,V11,V14,V17,V20,V26,V29,V32,V35,V38,V41,V44,V47,V50,V53,V56,V59,V62,V65,V68,V71,V74,V77,V80,V86,V89,V92,V95,V98,V101)</f>
        <v>0</v>
      </c>
      <c r="W107" s="373"/>
      <c r="X107" s="374"/>
      <c r="Y107" s="375"/>
      <c r="Z107" s="376" t="str">
        <f>IF(TRIM(Y107)="", "", IF(VLOOKUP(Y107,'Footnotes list'!$D$9:$E$58,2,FALSE)=0,"",VLOOKUP(Y107,'Footnotes list'!$D$9:$E$58,2,FALSE) ) )</f>
        <v/>
      </c>
      <c r="AA107" s="130">
        <f>SUM(AA8,AA11,AA14,AA17,AA20,AA26,AA29,AA32,AA35,AA38,AA41,AA44,AA47,AA50,AA53,AA56,AA59,AA62,AA65,AA68,AA71,AA74,AA77,AA80,AA86,AA89,AA92,AA95,AA98,AA101)</f>
        <v>0</v>
      </c>
      <c r="AB107" s="373"/>
      <c r="AC107" s="374"/>
      <c r="AD107" s="375"/>
      <c r="AE107" s="376" t="str">
        <f>IF(TRIM(AD107)="", "", IF(VLOOKUP(AD107,'Footnotes list'!$D$9:$E$58,2,FALSE)=0,"",VLOOKUP(AD107,'Footnotes list'!$D$9:$E$58,2,FALSE) ) )</f>
        <v/>
      </c>
      <c r="AF107" s="130">
        <f>SUM(AF8,AF11,AF14,AF17,AF20,AF26,AF29,AF32,AF35,AF38,AF41,AF44,AF47,AF50,AF53,AF56,AF59,AF62,AF65,AF68,AF71,AF74,AF77,AF80,AF86,AF89,AF92,AF95,AF98,AF101)</f>
        <v>0</v>
      </c>
      <c r="AG107" s="373"/>
      <c r="AH107" s="374"/>
      <c r="AI107" s="375"/>
      <c r="AJ107" s="376" t="str">
        <f>IF(TRIM(AI107)="", "", IF(VLOOKUP(AI107,'Footnotes list'!$D$9:$E$58,2,FALSE)=0,"",VLOOKUP(AI107,'Footnotes list'!$D$9:$E$58,2,FALSE) ) )</f>
        <v/>
      </c>
      <c r="AK107" s="130">
        <f>SUM(AK8,AK11,AK14,AK17,AK20,AK26,AK29,AK32,AK35,AK38,AK41,AK44,AK47,AK50,AK53,AK56,AK59,AK62,AK65,AK68,AK71,AK74,AK77,AK80,AK86,AK89,AK92,AK95,AK98,AK101)</f>
        <v>0</v>
      </c>
      <c r="AL107" s="373"/>
      <c r="AM107" s="374"/>
      <c r="AN107" s="375"/>
      <c r="AO107" s="376" t="str">
        <f>IF(TRIM(AN107)="", "", IF(VLOOKUP(AN107,'Footnotes list'!$D$9:$E$58,2,FALSE)=0,"",VLOOKUP(AN107,'Footnotes list'!$D$9:$E$58,2,FALSE) ) )</f>
        <v/>
      </c>
      <c r="AP107" s="130">
        <f>SUM(AP8,AP11,AP14,AP17,AP20,AP26,AP29,AP32,AP35,AP38,AP41,AP44,AP47,AP50,AP53,AP56,AP59,AP62,AP65,AP68,AP71,AP74,AP77,AP80,AP86,AP89,AP92,AP95,AP98,AP101)</f>
        <v>0</v>
      </c>
      <c r="AQ107" s="373"/>
      <c r="AR107" s="374"/>
      <c r="AS107" s="375"/>
      <c r="AT107" s="376" t="str">
        <f>IF(TRIM(AS107)="", "", IF(VLOOKUP(AS107,'Footnotes list'!$D$9:$E$58,2,FALSE)=0,"",VLOOKUP(AS107,'Footnotes list'!$D$9:$E$58,2,FALSE) ) )</f>
        <v/>
      </c>
      <c r="AU107" s="130">
        <f>SUM(AU8,AU11,AU14,AU17,AU20,AU26,AU29,AU32,AU35,AU38,AU41,AU44,AU47,AU50,AU53,AU56,AU59,AU62,AU65,AU68,AU71,AU74,AU77,AU80,AU86,AU89,AU92,AU95,AU98,AU101)</f>
        <v>0</v>
      </c>
      <c r="AV107" s="373"/>
      <c r="AW107" s="374"/>
      <c r="AX107" s="375"/>
      <c r="AY107" s="376" t="str">
        <f>IF(TRIM(AX107)="", "", IF(VLOOKUP(AX107,'Footnotes list'!$D$9:$E$58,2,FALSE)=0,"",VLOOKUP(AX107,'Footnotes list'!$D$9:$E$58,2,FALSE) ) )</f>
        <v/>
      </c>
    </row>
    <row r="108" spans="2:51" ht="15" customHeight="1" x14ac:dyDescent="0.35">
      <c r="B108" s="535"/>
      <c r="C108" s="50" t="s">
        <v>235</v>
      </c>
      <c r="D108" s="529"/>
      <c r="E108" s="51" t="s">
        <v>145</v>
      </c>
      <c r="F108" s="52" t="s">
        <v>152</v>
      </c>
      <c r="G108" s="131">
        <f t="shared" ref="G108:G109" si="0">SUM(G9,G12,G15,G18,G21,G27,G30,G33,G36,G39,G42,G45,G48,G51,G54,G57,G60,G63,G66,G69,G72,G75,G78,G81,G87,G90,G93,G96,G99,G102)</f>
        <v>0</v>
      </c>
      <c r="H108" s="379"/>
      <c r="I108" s="380"/>
      <c r="J108" s="381"/>
      <c r="K108" s="377" t="str">
        <f>IF(TRIM(J108)="", "", IF(VLOOKUP(J108,'Footnotes list'!$D$9:$E$58,2,FALSE)=0,"",VLOOKUP(J108,'Footnotes list'!$D$9:$E$58,2,FALSE) ) )</f>
        <v/>
      </c>
      <c r="L108" s="131">
        <f t="shared" ref="L108:L109" si="1">SUM(L9,L12,L15,L18,L21,L27,L30,L33,L36,L39,L42,L45,L48,L51,L54,L57,L60,L63,L66,L69,L72,L75,L78,L81,L87,L90,L93,L96,L99,L102)</f>
        <v>0</v>
      </c>
      <c r="M108" s="379"/>
      <c r="N108" s="380"/>
      <c r="O108" s="381"/>
      <c r="P108" s="377" t="str">
        <f>IF(TRIM(O108)="", "", IF(VLOOKUP(O108,'Footnotes list'!$D$9:$E$58,2,FALSE)=0,"",VLOOKUP(O108,'Footnotes list'!$D$9:$E$58,2,FALSE) ) )</f>
        <v/>
      </c>
      <c r="Q108" s="131">
        <f t="shared" ref="Q108:Q109" si="2">SUM(Q9,Q12,Q15,Q18,Q21,Q27,Q30,Q33,Q36,Q39,Q42,Q45,Q48,Q51,Q54,Q57,Q60,Q63,Q66,Q69,Q72,Q75,Q78,Q81,Q87,Q90,Q93,Q96,Q99,Q102)</f>
        <v>0</v>
      </c>
      <c r="R108" s="379"/>
      <c r="S108" s="380"/>
      <c r="T108" s="381"/>
      <c r="U108" s="377" t="str">
        <f>IF(TRIM(T108)="", "", IF(VLOOKUP(T108,'Footnotes list'!$D$9:$E$58,2,FALSE)=0,"",VLOOKUP(T108,'Footnotes list'!$D$9:$E$58,2,FALSE) ) )</f>
        <v/>
      </c>
      <c r="V108" s="131">
        <f t="shared" ref="V108:V109" si="3">SUM(V9,V12,V15,V18,V21,V27,V30,V33,V36,V39,V42,V45,V48,V51,V54,V57,V60,V63,V66,V69,V72,V75,V78,V81,V87,V90,V93,V96,V99,V102)</f>
        <v>0</v>
      </c>
      <c r="W108" s="379"/>
      <c r="X108" s="380"/>
      <c r="Y108" s="381"/>
      <c r="Z108" s="377" t="str">
        <f>IF(TRIM(Y108)="", "", IF(VLOOKUP(Y108,'Footnotes list'!$D$9:$E$58,2,FALSE)=0,"",VLOOKUP(Y108,'Footnotes list'!$D$9:$E$58,2,FALSE) ) )</f>
        <v/>
      </c>
      <c r="AA108" s="129">
        <f t="shared" ref="AA108:AA109" si="4">SUM(AA9,AA12,AA15,AA18,AA21,AA27,AA30,AA33,AA36,AA39,AA42,AA45,AA48,AA51,AA54,AA57,AA60,AA63,AA66,AA69,AA72,AA75,AA78,AA81,AA87,AA90,AA93,AA96,AA99,AA102)</f>
        <v>0</v>
      </c>
      <c r="AB108" s="379"/>
      <c r="AC108" s="380"/>
      <c r="AD108" s="381"/>
      <c r="AE108" s="377" t="str">
        <f>IF(TRIM(AD108)="", "", IF(VLOOKUP(AD108,'Footnotes list'!$D$9:$E$58,2,FALSE)=0,"",VLOOKUP(AD108,'Footnotes list'!$D$9:$E$58,2,FALSE) ) )</f>
        <v/>
      </c>
      <c r="AF108" s="131">
        <f t="shared" ref="AF108:AF109" si="5">SUM(AF9,AF12,AF15,AF18,AF21,AF27,AF30,AF33,AF36,AF39,AF42,AF45,AF48,AF51,AF54,AF57,AF60,AF63,AF66,AF69,AF72,AF75,AF78,AF81,AF87,AF90,AF93,AF96,AF99,AF102)</f>
        <v>0</v>
      </c>
      <c r="AG108" s="379"/>
      <c r="AH108" s="380"/>
      <c r="AI108" s="381"/>
      <c r="AJ108" s="377" t="str">
        <f>IF(TRIM(AI108)="", "", IF(VLOOKUP(AI108,'Footnotes list'!$D$9:$E$58,2,FALSE)=0,"",VLOOKUP(AI108,'Footnotes list'!$D$9:$E$58,2,FALSE) ) )</f>
        <v/>
      </c>
      <c r="AK108" s="131">
        <f t="shared" ref="AK108:AK109" si="6">SUM(AK9,AK12,AK15,AK18,AK21,AK27,AK30,AK33,AK36,AK39,AK42,AK45,AK48,AK51,AK54,AK57,AK60,AK63,AK66,AK69,AK72,AK75,AK78,AK81,AK87,AK90,AK93,AK96,AK99,AK102)</f>
        <v>0</v>
      </c>
      <c r="AL108" s="379"/>
      <c r="AM108" s="380"/>
      <c r="AN108" s="381"/>
      <c r="AO108" s="377" t="str">
        <f>IF(TRIM(AN108)="", "", IF(VLOOKUP(AN108,'Footnotes list'!$D$9:$E$58,2,FALSE)=0,"",VLOOKUP(AN108,'Footnotes list'!$D$9:$E$58,2,FALSE) ) )</f>
        <v/>
      </c>
      <c r="AP108" s="131">
        <f t="shared" ref="AP108:AP109" si="7">SUM(AP9,AP12,AP15,AP18,AP21,AP27,AP30,AP33,AP36,AP39,AP42,AP45,AP48,AP51,AP54,AP57,AP60,AP63,AP66,AP69,AP72,AP75,AP78,AP81,AP87,AP90,AP93,AP96,AP99,AP102)</f>
        <v>0</v>
      </c>
      <c r="AQ108" s="379"/>
      <c r="AR108" s="380"/>
      <c r="AS108" s="381"/>
      <c r="AT108" s="377" t="str">
        <f>IF(TRIM(AS108)="", "", IF(VLOOKUP(AS108,'Footnotes list'!$D$9:$E$58,2,FALSE)=0,"",VLOOKUP(AS108,'Footnotes list'!$D$9:$E$58,2,FALSE) ) )</f>
        <v/>
      </c>
      <c r="AU108" s="131">
        <f t="shared" ref="AU108:AU109" si="8">SUM(AU9,AU12,AU15,AU18,AU21,AU27,AU30,AU33,AU36,AU39,AU42,AU45,AU48,AU51,AU54,AU57,AU60,AU63,AU66,AU69,AU72,AU75,AU78,AU81,AU87,AU90,AU93,AU96,AU99,AU102)</f>
        <v>0</v>
      </c>
      <c r="AV108" s="379"/>
      <c r="AW108" s="380"/>
      <c r="AX108" s="381"/>
      <c r="AY108" s="377" t="str">
        <f>IF(TRIM(AX108)="", "", IF(VLOOKUP(AX108,'Footnotes list'!$D$9:$E$58,2,FALSE)=0,"",VLOOKUP(AX108,'Footnotes list'!$D$9:$E$58,2,FALSE) ) )</f>
        <v/>
      </c>
    </row>
    <row r="109" spans="2:51" ht="15" customHeight="1" thickBot="1" x14ac:dyDescent="0.4">
      <c r="B109" s="536"/>
      <c r="C109" s="53" t="s">
        <v>235</v>
      </c>
      <c r="D109" s="530"/>
      <c r="E109" s="47" t="s">
        <v>146</v>
      </c>
      <c r="F109" s="54" t="s">
        <v>234</v>
      </c>
      <c r="G109" s="127">
        <f t="shared" si="0"/>
        <v>0</v>
      </c>
      <c r="H109" s="379"/>
      <c r="I109" s="380"/>
      <c r="J109" s="381"/>
      <c r="K109" s="377" t="str">
        <f>IF(TRIM(J109)="", "", IF(VLOOKUP(J109,'Footnotes list'!$D$9:$E$58,2,FALSE)=0,"",VLOOKUP(J109,'Footnotes list'!$D$9:$E$58,2,FALSE) ) )</f>
        <v/>
      </c>
      <c r="L109" s="132">
        <f t="shared" si="1"/>
        <v>0</v>
      </c>
      <c r="M109" s="379"/>
      <c r="N109" s="380"/>
      <c r="O109" s="381"/>
      <c r="P109" s="377" t="str">
        <f>IF(TRIM(O109)="", "", IF(VLOOKUP(O109,'Footnotes list'!$D$9:$E$58,2,FALSE)=0,"",VLOOKUP(O109,'Footnotes list'!$D$9:$E$58,2,FALSE) ) )</f>
        <v/>
      </c>
      <c r="Q109" s="132">
        <f t="shared" si="2"/>
        <v>0</v>
      </c>
      <c r="R109" s="379"/>
      <c r="S109" s="380"/>
      <c r="T109" s="381"/>
      <c r="U109" s="377" t="str">
        <f>IF(TRIM(T109)="", "", IF(VLOOKUP(T109,'Footnotes list'!$D$9:$E$58,2,FALSE)=0,"",VLOOKUP(T109,'Footnotes list'!$D$9:$E$58,2,FALSE) ) )</f>
        <v/>
      </c>
      <c r="V109" s="132">
        <f t="shared" si="3"/>
        <v>0</v>
      </c>
      <c r="W109" s="379"/>
      <c r="X109" s="380"/>
      <c r="Y109" s="381"/>
      <c r="Z109" s="377" t="str">
        <f>IF(TRIM(Y109)="", "", IF(VLOOKUP(Y109,'Footnotes list'!$D$9:$E$58,2,FALSE)=0,"",VLOOKUP(Y109,'Footnotes list'!$D$9:$E$58,2,FALSE) ) )</f>
        <v/>
      </c>
      <c r="AA109" s="127">
        <f t="shared" si="4"/>
        <v>0</v>
      </c>
      <c r="AB109" s="379"/>
      <c r="AC109" s="380"/>
      <c r="AD109" s="381"/>
      <c r="AE109" s="377" t="str">
        <f>IF(TRIM(AD109)="", "", IF(VLOOKUP(AD109,'Footnotes list'!$D$9:$E$58,2,FALSE)=0,"",VLOOKUP(AD109,'Footnotes list'!$D$9:$E$58,2,FALSE) ) )</f>
        <v/>
      </c>
      <c r="AF109" s="132">
        <f t="shared" si="5"/>
        <v>0</v>
      </c>
      <c r="AG109" s="379"/>
      <c r="AH109" s="380"/>
      <c r="AI109" s="381"/>
      <c r="AJ109" s="377" t="str">
        <f>IF(TRIM(AI109)="", "", IF(VLOOKUP(AI109,'Footnotes list'!$D$9:$E$58,2,FALSE)=0,"",VLOOKUP(AI109,'Footnotes list'!$D$9:$E$58,2,FALSE) ) )</f>
        <v/>
      </c>
      <c r="AK109" s="132">
        <f t="shared" si="6"/>
        <v>0</v>
      </c>
      <c r="AL109" s="379"/>
      <c r="AM109" s="380"/>
      <c r="AN109" s="381"/>
      <c r="AO109" s="377" t="str">
        <f>IF(TRIM(AN109)="", "", IF(VLOOKUP(AN109,'Footnotes list'!$D$9:$E$58,2,FALSE)=0,"",VLOOKUP(AN109,'Footnotes list'!$D$9:$E$58,2,FALSE) ) )</f>
        <v/>
      </c>
      <c r="AP109" s="132">
        <f t="shared" si="7"/>
        <v>0</v>
      </c>
      <c r="AQ109" s="379"/>
      <c r="AR109" s="380"/>
      <c r="AS109" s="381"/>
      <c r="AT109" s="377" t="str">
        <f>IF(TRIM(AS109)="", "", IF(VLOOKUP(AS109,'Footnotes list'!$D$9:$E$58,2,FALSE)=0,"",VLOOKUP(AS109,'Footnotes list'!$D$9:$E$58,2,FALSE) ) )</f>
        <v/>
      </c>
      <c r="AU109" s="127">
        <f t="shared" si="8"/>
        <v>0</v>
      </c>
      <c r="AV109" s="379"/>
      <c r="AW109" s="380"/>
      <c r="AX109" s="381"/>
      <c r="AY109" s="377" t="str">
        <f>IF(TRIM(AX109)="", "", IF(VLOOKUP(AX109,'Footnotes list'!$D$9:$E$58,2,FALSE)=0,"",VLOOKUP(AX109,'Footnotes list'!$D$9:$E$58,2,FALSE) ) )</f>
        <v/>
      </c>
    </row>
    <row r="110" spans="2:51" ht="15" customHeight="1" x14ac:dyDescent="0.35">
      <c r="B110" s="534" t="s">
        <v>237</v>
      </c>
      <c r="C110" s="41" t="s">
        <v>237</v>
      </c>
      <c r="D110" s="528" t="s">
        <v>238</v>
      </c>
      <c r="E110" s="42" t="s">
        <v>144</v>
      </c>
      <c r="F110" s="43" t="s">
        <v>151</v>
      </c>
      <c r="G110" s="130">
        <f>SUM(G23,G83,G104)</f>
        <v>0</v>
      </c>
      <c r="H110" s="373"/>
      <c r="I110" s="374"/>
      <c r="J110" s="375"/>
      <c r="K110" s="376" t="str">
        <f>IF(TRIM(J110)="", "", IF(VLOOKUP(J110,'Footnotes list'!$D$9:$E$58,2,FALSE)=0,"",VLOOKUP(J110,'Footnotes list'!$D$9:$E$58,2,FALSE) ) )</f>
        <v/>
      </c>
      <c r="L110" s="130">
        <f>SUM(L23,L83,L104)</f>
        <v>0</v>
      </c>
      <c r="M110" s="373"/>
      <c r="N110" s="374"/>
      <c r="O110" s="375"/>
      <c r="P110" s="376" t="str">
        <f>IF(TRIM(O110)="", "", IF(VLOOKUP(O110,'Footnotes list'!$D$9:$E$58,2,FALSE)=0,"",VLOOKUP(O110,'Footnotes list'!$D$9:$E$58,2,FALSE) ) )</f>
        <v/>
      </c>
      <c r="Q110" s="130">
        <f>SUM(Q23,Q83,Q104)</f>
        <v>0</v>
      </c>
      <c r="R110" s="373"/>
      <c r="S110" s="374"/>
      <c r="T110" s="375"/>
      <c r="U110" s="376" t="str">
        <f>IF(TRIM(T110)="", "", IF(VLOOKUP(T110,'Footnotes list'!$D$9:$E$58,2,FALSE)=0,"",VLOOKUP(T110,'Footnotes list'!$D$9:$E$58,2,FALSE) ) )</f>
        <v/>
      </c>
      <c r="V110" s="130">
        <f>SUM(V23,V83,V104)</f>
        <v>0</v>
      </c>
      <c r="W110" s="373"/>
      <c r="X110" s="374"/>
      <c r="Y110" s="375"/>
      <c r="Z110" s="376" t="str">
        <f>IF(TRIM(Y110)="", "", IF(VLOOKUP(Y110,'Footnotes list'!$D$9:$E$58,2,FALSE)=0,"",VLOOKUP(Y110,'Footnotes list'!$D$9:$E$58,2,FALSE) ) )</f>
        <v/>
      </c>
      <c r="AA110" s="130">
        <f>SUM(AA23,AA83,AA104)</f>
        <v>0</v>
      </c>
      <c r="AB110" s="373"/>
      <c r="AC110" s="374"/>
      <c r="AD110" s="375"/>
      <c r="AE110" s="376" t="str">
        <f>IF(TRIM(AD110)="", "", IF(VLOOKUP(AD110,'Footnotes list'!$D$9:$E$58,2,FALSE)=0,"",VLOOKUP(AD110,'Footnotes list'!$D$9:$E$58,2,FALSE) ) )</f>
        <v/>
      </c>
      <c r="AF110" s="130">
        <f>SUM(AF23,AF83,AF104)</f>
        <v>0</v>
      </c>
      <c r="AG110" s="373"/>
      <c r="AH110" s="374"/>
      <c r="AI110" s="375"/>
      <c r="AJ110" s="376" t="str">
        <f>IF(TRIM(AI110)="", "", IF(VLOOKUP(AI110,'Footnotes list'!$D$9:$E$58,2,FALSE)=0,"",VLOOKUP(AI110,'Footnotes list'!$D$9:$E$58,2,FALSE) ) )</f>
        <v/>
      </c>
      <c r="AK110" s="130">
        <f>SUM(AK23,AK83,AK104)</f>
        <v>0</v>
      </c>
      <c r="AL110" s="373"/>
      <c r="AM110" s="374"/>
      <c r="AN110" s="375"/>
      <c r="AO110" s="376" t="str">
        <f>IF(TRIM(AN110)="", "", IF(VLOOKUP(AN110,'Footnotes list'!$D$9:$E$58,2,FALSE)=0,"",VLOOKUP(AN110,'Footnotes list'!$D$9:$E$58,2,FALSE) ) )</f>
        <v/>
      </c>
      <c r="AP110" s="130">
        <f>SUM(AP23,AP83,AP104)</f>
        <v>0</v>
      </c>
      <c r="AQ110" s="373"/>
      <c r="AR110" s="374"/>
      <c r="AS110" s="375"/>
      <c r="AT110" s="376" t="str">
        <f>IF(TRIM(AS110)="", "", IF(VLOOKUP(AS110,'Footnotes list'!$D$9:$E$58,2,FALSE)=0,"",VLOOKUP(AS110,'Footnotes list'!$D$9:$E$58,2,FALSE) ) )</f>
        <v/>
      </c>
      <c r="AU110" s="130">
        <f>SUM(AU23,AU83,AU104)</f>
        <v>0</v>
      </c>
      <c r="AV110" s="373"/>
      <c r="AW110" s="374"/>
      <c r="AX110" s="375"/>
      <c r="AY110" s="376" t="str">
        <f>IF(TRIM(AX110)="", "", IF(VLOOKUP(AX110,'Footnotes list'!$D$9:$E$58,2,FALSE)=0,"",VLOOKUP(AX110,'Footnotes list'!$D$9:$E$58,2,FALSE) ) )</f>
        <v/>
      </c>
    </row>
    <row r="111" spans="2:51" ht="15" customHeight="1" x14ac:dyDescent="0.35">
      <c r="B111" s="535"/>
      <c r="C111" s="50" t="s">
        <v>237</v>
      </c>
      <c r="D111" s="529"/>
      <c r="E111" s="51" t="s">
        <v>145</v>
      </c>
      <c r="F111" s="52" t="s">
        <v>152</v>
      </c>
      <c r="G111" s="131">
        <f t="shared" ref="G111:G112" si="9">SUM(G24,G84,G105)</f>
        <v>0</v>
      </c>
      <c r="H111" s="379"/>
      <c r="I111" s="380"/>
      <c r="J111" s="381"/>
      <c r="K111" s="377" t="str">
        <f>IF(TRIM(J111)="", "", IF(VLOOKUP(J111,'Footnotes list'!$D$9:$E$58,2,FALSE)=0,"",VLOOKUP(J111,'Footnotes list'!$D$9:$E$58,2,FALSE) ) )</f>
        <v/>
      </c>
      <c r="L111" s="131">
        <f t="shared" ref="L111:L112" si="10">SUM(L24,L84,L105)</f>
        <v>0</v>
      </c>
      <c r="M111" s="379"/>
      <c r="N111" s="380"/>
      <c r="O111" s="381"/>
      <c r="P111" s="377" t="str">
        <f>IF(TRIM(O111)="", "", IF(VLOOKUP(O111,'Footnotes list'!$D$9:$E$58,2,FALSE)=0,"",VLOOKUP(O111,'Footnotes list'!$D$9:$E$58,2,FALSE) ) )</f>
        <v/>
      </c>
      <c r="Q111" s="131">
        <f t="shared" ref="Q111:Q112" si="11">SUM(Q24,Q84,Q105)</f>
        <v>0</v>
      </c>
      <c r="R111" s="379"/>
      <c r="S111" s="380"/>
      <c r="T111" s="381"/>
      <c r="U111" s="377" t="str">
        <f>IF(TRIM(T111)="", "", IF(VLOOKUP(T111,'Footnotes list'!$D$9:$E$58,2,FALSE)=0,"",VLOOKUP(T111,'Footnotes list'!$D$9:$E$58,2,FALSE) ) )</f>
        <v/>
      </c>
      <c r="V111" s="131">
        <f t="shared" ref="V111:V112" si="12">SUM(V24,V84,V105)</f>
        <v>0</v>
      </c>
      <c r="W111" s="379"/>
      <c r="X111" s="380"/>
      <c r="Y111" s="381"/>
      <c r="Z111" s="377" t="str">
        <f>IF(TRIM(Y111)="", "", IF(VLOOKUP(Y111,'Footnotes list'!$D$9:$E$58,2,FALSE)=0,"",VLOOKUP(Y111,'Footnotes list'!$D$9:$E$58,2,FALSE) ) )</f>
        <v/>
      </c>
      <c r="AA111" s="131">
        <f t="shared" ref="AA111:AA112" si="13">SUM(AA24,AA84,AA105)</f>
        <v>0</v>
      </c>
      <c r="AB111" s="379"/>
      <c r="AC111" s="380"/>
      <c r="AD111" s="381"/>
      <c r="AE111" s="377" t="str">
        <f>IF(TRIM(AD111)="", "", IF(VLOOKUP(AD111,'Footnotes list'!$D$9:$E$58,2,FALSE)=0,"",VLOOKUP(AD111,'Footnotes list'!$D$9:$E$58,2,FALSE) ) )</f>
        <v/>
      </c>
      <c r="AF111" s="131">
        <f t="shared" ref="AF111:AF112" si="14">SUM(AF24,AF84,AF105)</f>
        <v>0</v>
      </c>
      <c r="AG111" s="379"/>
      <c r="AH111" s="380"/>
      <c r="AI111" s="381"/>
      <c r="AJ111" s="377" t="str">
        <f>IF(TRIM(AI111)="", "", IF(VLOOKUP(AI111,'Footnotes list'!$D$9:$E$58,2,FALSE)=0,"",VLOOKUP(AI111,'Footnotes list'!$D$9:$E$58,2,FALSE) ) )</f>
        <v/>
      </c>
      <c r="AK111" s="131">
        <f t="shared" ref="AK111:AK112" si="15">SUM(AK24,AK84,AK105)</f>
        <v>0</v>
      </c>
      <c r="AL111" s="379"/>
      <c r="AM111" s="380"/>
      <c r="AN111" s="381"/>
      <c r="AO111" s="377" t="str">
        <f>IF(TRIM(AN111)="", "", IF(VLOOKUP(AN111,'Footnotes list'!$D$9:$E$58,2,FALSE)=0,"",VLOOKUP(AN111,'Footnotes list'!$D$9:$E$58,2,FALSE) ) )</f>
        <v/>
      </c>
      <c r="AP111" s="131">
        <f t="shared" ref="AP111:AP112" si="16">SUM(AP24,AP84,AP105)</f>
        <v>0</v>
      </c>
      <c r="AQ111" s="379"/>
      <c r="AR111" s="380"/>
      <c r="AS111" s="381"/>
      <c r="AT111" s="377" t="str">
        <f>IF(TRIM(AS111)="", "", IF(VLOOKUP(AS111,'Footnotes list'!$D$9:$E$58,2,FALSE)=0,"",VLOOKUP(AS111,'Footnotes list'!$D$9:$E$58,2,FALSE) ) )</f>
        <v/>
      </c>
      <c r="AU111" s="131">
        <f t="shared" ref="AU111:AU112" si="17">SUM(AU24,AU84,AU105)</f>
        <v>0</v>
      </c>
      <c r="AV111" s="379"/>
      <c r="AW111" s="380"/>
      <c r="AX111" s="381"/>
      <c r="AY111" s="377" t="str">
        <f>IF(TRIM(AX111)="", "", IF(VLOOKUP(AX111,'Footnotes list'!$D$9:$E$58,2,FALSE)=0,"",VLOOKUP(AX111,'Footnotes list'!$D$9:$E$58,2,FALSE) ) )</f>
        <v/>
      </c>
    </row>
    <row r="112" spans="2:51" ht="15" customHeight="1" thickBot="1" x14ac:dyDescent="0.4">
      <c r="B112" s="536"/>
      <c r="C112" s="53" t="s">
        <v>237</v>
      </c>
      <c r="D112" s="530"/>
      <c r="E112" s="47" t="s">
        <v>146</v>
      </c>
      <c r="F112" s="54" t="s">
        <v>234</v>
      </c>
      <c r="G112" s="132">
        <f t="shared" si="9"/>
        <v>0</v>
      </c>
      <c r="H112" s="379"/>
      <c r="I112" s="380"/>
      <c r="J112" s="381"/>
      <c r="K112" s="377" t="str">
        <f>IF(TRIM(J112)="", "", IF(VLOOKUP(J112,'Footnotes list'!$D$9:$E$58,2,FALSE)=0,"",VLOOKUP(J112,'Footnotes list'!$D$9:$E$58,2,FALSE) ) )</f>
        <v/>
      </c>
      <c r="L112" s="132">
        <f t="shared" si="10"/>
        <v>0</v>
      </c>
      <c r="M112" s="379"/>
      <c r="N112" s="380"/>
      <c r="O112" s="381"/>
      <c r="P112" s="377" t="str">
        <f>IF(TRIM(O112)="", "", IF(VLOOKUP(O112,'Footnotes list'!$D$9:$E$58,2,FALSE)=0,"",VLOOKUP(O112,'Footnotes list'!$D$9:$E$58,2,FALSE) ) )</f>
        <v/>
      </c>
      <c r="Q112" s="132">
        <f t="shared" si="11"/>
        <v>0</v>
      </c>
      <c r="R112" s="379"/>
      <c r="S112" s="380"/>
      <c r="T112" s="381"/>
      <c r="U112" s="377" t="str">
        <f>IF(TRIM(T112)="", "", IF(VLOOKUP(T112,'Footnotes list'!$D$9:$E$58,2,FALSE)=0,"",VLOOKUP(T112,'Footnotes list'!$D$9:$E$58,2,FALSE) ) )</f>
        <v/>
      </c>
      <c r="V112" s="132">
        <f t="shared" si="12"/>
        <v>0</v>
      </c>
      <c r="W112" s="379"/>
      <c r="X112" s="380"/>
      <c r="Y112" s="381"/>
      <c r="Z112" s="377" t="str">
        <f>IF(TRIM(Y112)="", "", IF(VLOOKUP(Y112,'Footnotes list'!$D$9:$E$58,2,FALSE)=0,"",VLOOKUP(Y112,'Footnotes list'!$D$9:$E$58,2,FALSE) ) )</f>
        <v/>
      </c>
      <c r="AA112" s="132">
        <f t="shared" si="13"/>
        <v>0</v>
      </c>
      <c r="AB112" s="379"/>
      <c r="AC112" s="380"/>
      <c r="AD112" s="381"/>
      <c r="AE112" s="377" t="str">
        <f>IF(TRIM(AD112)="", "", IF(VLOOKUP(AD112,'Footnotes list'!$D$9:$E$58,2,FALSE)=0,"",VLOOKUP(AD112,'Footnotes list'!$D$9:$E$58,2,FALSE) ) )</f>
        <v/>
      </c>
      <c r="AF112" s="132">
        <f t="shared" si="14"/>
        <v>0</v>
      </c>
      <c r="AG112" s="379"/>
      <c r="AH112" s="380"/>
      <c r="AI112" s="381"/>
      <c r="AJ112" s="377" t="str">
        <f>IF(TRIM(AI112)="", "", IF(VLOOKUP(AI112,'Footnotes list'!$D$9:$E$58,2,FALSE)=0,"",VLOOKUP(AI112,'Footnotes list'!$D$9:$E$58,2,FALSE) ) )</f>
        <v/>
      </c>
      <c r="AK112" s="132">
        <f t="shared" si="15"/>
        <v>0</v>
      </c>
      <c r="AL112" s="379"/>
      <c r="AM112" s="380"/>
      <c r="AN112" s="381"/>
      <c r="AO112" s="377" t="str">
        <f>IF(TRIM(AN112)="", "", IF(VLOOKUP(AN112,'Footnotes list'!$D$9:$E$58,2,FALSE)=0,"",VLOOKUP(AN112,'Footnotes list'!$D$9:$E$58,2,FALSE) ) )</f>
        <v/>
      </c>
      <c r="AP112" s="132">
        <f t="shared" si="16"/>
        <v>0</v>
      </c>
      <c r="AQ112" s="379"/>
      <c r="AR112" s="380"/>
      <c r="AS112" s="381"/>
      <c r="AT112" s="377" t="str">
        <f>IF(TRIM(AS112)="", "", IF(VLOOKUP(AS112,'Footnotes list'!$D$9:$E$58,2,FALSE)=0,"",VLOOKUP(AS112,'Footnotes list'!$D$9:$E$58,2,FALSE) ) )</f>
        <v/>
      </c>
      <c r="AU112" s="132">
        <f t="shared" si="17"/>
        <v>0</v>
      </c>
      <c r="AV112" s="379"/>
      <c r="AW112" s="380"/>
      <c r="AX112" s="381"/>
      <c r="AY112" s="377" t="str">
        <f>IF(TRIM(AX112)="", "", IF(VLOOKUP(AX112,'Footnotes list'!$D$9:$E$58,2,FALSE)=0,"",VLOOKUP(AX112,'Footnotes list'!$D$9:$E$58,2,FALSE) ) )</f>
        <v/>
      </c>
    </row>
    <row r="113" spans="2:51" ht="15" customHeight="1" x14ac:dyDescent="0.35">
      <c r="B113" s="534" t="s">
        <v>429</v>
      </c>
      <c r="C113" s="41" t="s">
        <v>429</v>
      </c>
      <c r="D113" s="528" t="s">
        <v>278</v>
      </c>
      <c r="E113" s="42" t="s">
        <v>144</v>
      </c>
      <c r="F113" s="43" t="s">
        <v>151</v>
      </c>
      <c r="G113" s="130">
        <f>SUM(G8,G11,G14,G17,G20,G23,G26,G29,G32,G35,G38,G41,G44,G47,G50,G53,G56,G59,G62,G65,G68,G71,G74,G77,G80,G83,G86,G95,G104)</f>
        <v>0</v>
      </c>
      <c r="H113" s="373"/>
      <c r="I113" s="374"/>
      <c r="J113" s="375"/>
      <c r="K113" s="376" t="str">
        <f>IF(TRIM(J113)="", "", IF(VLOOKUP(J113,'Footnotes list'!$D$9:$E$58,2,FALSE)=0,"",VLOOKUP(J113,'Footnotes list'!$D$9:$E$58,2,FALSE) ) )</f>
        <v/>
      </c>
      <c r="L113" s="130">
        <f>SUM(L8,L11,L14,L17,L20,L23,L26,L29,L32,L35,L38,L41,L44,L47,L50,L53,L56,L59,L62,L65,L68,L71,L74,L77,L80,L83,L86,L95,L104)</f>
        <v>0</v>
      </c>
      <c r="M113" s="373"/>
      <c r="N113" s="374"/>
      <c r="O113" s="375"/>
      <c r="P113" s="376" t="str">
        <f>IF(TRIM(O113)="", "", IF(VLOOKUP(O113,'Footnotes list'!$D$9:$E$58,2,FALSE)=0,"",VLOOKUP(O113,'Footnotes list'!$D$9:$E$58,2,FALSE) ) )</f>
        <v/>
      </c>
      <c r="Q113" s="130">
        <f>SUM(Q8,Q11,Q14,Q17,Q20,Q23,Q26,Q29,Q32,Q35,Q38,Q41,Q44,Q47,Q50,Q53,Q56,Q59,Q62,Q65,Q68,Q71,Q74,Q77,Q80,Q83,Q86,Q95,Q104)</f>
        <v>0</v>
      </c>
      <c r="R113" s="373"/>
      <c r="S113" s="374"/>
      <c r="T113" s="375"/>
      <c r="U113" s="376" t="str">
        <f>IF(TRIM(T113)="", "", IF(VLOOKUP(T113,'Footnotes list'!$D$9:$E$58,2,FALSE)=0,"",VLOOKUP(T113,'Footnotes list'!$D$9:$E$58,2,FALSE) ) )</f>
        <v/>
      </c>
      <c r="V113" s="130">
        <f>SUM(V8,V11,V14,V17,V20,V23,V26,V29,V32,V35,V38,V41,V44,V47,V50,V53,V56,V59,V62,V65,V68,V71,V74,V77,V80,V83,V86,V95,V104)</f>
        <v>0</v>
      </c>
      <c r="W113" s="373"/>
      <c r="X113" s="374"/>
      <c r="Y113" s="375"/>
      <c r="Z113" s="376" t="str">
        <f>IF(TRIM(Y113)="", "", IF(VLOOKUP(Y113,'Footnotes list'!$D$9:$E$58,2,FALSE)=0,"",VLOOKUP(Y113,'Footnotes list'!$D$9:$E$58,2,FALSE) ) )</f>
        <v/>
      </c>
      <c r="AA113" s="130">
        <f>SUM(AA8,AA11,AA14,AA17,AA20,AA23,AA26,AA29,AA32,AA35,AA38,AA41,AA44,AA47,AA50,AA53,AA56,AA59,AA62,AA65,AA68,AA71,AA74,AA77,AA80,AA83,AA86,AA95,AA104)</f>
        <v>0</v>
      </c>
      <c r="AB113" s="373"/>
      <c r="AC113" s="374"/>
      <c r="AD113" s="375"/>
      <c r="AE113" s="376" t="str">
        <f>IF(TRIM(AD113)="", "", IF(VLOOKUP(AD113,'Footnotes list'!$D$9:$E$58,2,FALSE)=0,"",VLOOKUP(AD113,'Footnotes list'!$D$9:$E$58,2,FALSE) ) )</f>
        <v/>
      </c>
      <c r="AF113" s="130">
        <f>SUM(AF8,AF11,AF14,AF17,AF20,AF23,AF26,AF29,AF32,AF35,AF38,AF41,AF44,AF47,AF50,AF53,AF56,AF59,AF62,AF65,AF68,AF71,AF74,AF77,AF80,AF83,AF86,AF95,AF104)</f>
        <v>0</v>
      </c>
      <c r="AG113" s="373"/>
      <c r="AH113" s="374"/>
      <c r="AI113" s="375"/>
      <c r="AJ113" s="376" t="str">
        <f>IF(TRIM(AI113)="", "", IF(VLOOKUP(AI113,'Footnotes list'!$D$9:$E$58,2,FALSE)=0,"",VLOOKUP(AI113,'Footnotes list'!$D$9:$E$58,2,FALSE) ) )</f>
        <v/>
      </c>
      <c r="AK113" s="130">
        <f>SUM(AK8,AK11,AK14,AK17,AK20,AK23,AK26,AK29,AK32,AK35,AK38,AK41,AK44,AK47,AK50,AK53,AK56,AK59,AK62,AK65,AK68,AK71,AK74,AK77,AK80,AK83,AK86,AK95,AK104)</f>
        <v>0</v>
      </c>
      <c r="AL113" s="373"/>
      <c r="AM113" s="374"/>
      <c r="AN113" s="375"/>
      <c r="AO113" s="376" t="str">
        <f>IF(TRIM(AN113)="", "", IF(VLOOKUP(AN113,'Footnotes list'!$D$9:$E$58,2,FALSE)=0,"",VLOOKUP(AN113,'Footnotes list'!$D$9:$E$58,2,FALSE) ) )</f>
        <v/>
      </c>
      <c r="AP113" s="130">
        <f>SUM(AP8,AP11,AP14,AP17,AP20,AP23,AP26,AP29,AP32,AP35,AP38,AP41,AP44,AP47,AP50,AP53,AP56,AP59,AP62,AP65,AP68,AP71,AP74,AP77,AP80,AP83,AP86,AP95,AP104)</f>
        <v>0</v>
      </c>
      <c r="AQ113" s="373"/>
      <c r="AR113" s="374"/>
      <c r="AS113" s="375"/>
      <c r="AT113" s="376" t="str">
        <f>IF(TRIM(AS113)="", "", IF(VLOOKUP(AS113,'Footnotes list'!$D$9:$E$58,2,FALSE)=0,"",VLOOKUP(AS113,'Footnotes list'!$D$9:$E$58,2,FALSE) ) )</f>
        <v/>
      </c>
      <c r="AU113" s="130">
        <f>SUM(AU8,AU11,AU14,AU17,AU20,AU23,AU26,AU29,AU32,AU35,AU38,AU41,AU44,AU47,AU50,AU53,AU56,AU59,AU62,AU65,AU68,AU71,AU74,AU77,AU80,AU83,AU86,AU95,AU104)</f>
        <v>0</v>
      </c>
      <c r="AV113" s="373"/>
      <c r="AW113" s="374"/>
      <c r="AX113" s="375"/>
      <c r="AY113" s="376" t="str">
        <f>IF(TRIM(AX113)="", "", IF(VLOOKUP(AX113,'Footnotes list'!$D$9:$E$58,2,FALSE)=0,"",VLOOKUP(AX113,'Footnotes list'!$D$9:$E$58,2,FALSE) ) )</f>
        <v/>
      </c>
    </row>
    <row r="114" spans="2:51" ht="15" customHeight="1" x14ac:dyDescent="0.35">
      <c r="B114" s="535"/>
      <c r="C114" s="50" t="s">
        <v>429</v>
      </c>
      <c r="D114" s="529"/>
      <c r="E114" s="51" t="s">
        <v>145</v>
      </c>
      <c r="F114" s="52" t="s">
        <v>152</v>
      </c>
      <c r="G114" s="131">
        <f t="shared" ref="G114:G115" si="18">SUM(G9,G12,G15,G18,G21,G24,G27,G30,G33,G36,G39,G42,G45,G48,G51,G54,G57,G60,G63,G66,G69,G72,G75,G78,G81,G84,G87,G96,G105)</f>
        <v>0</v>
      </c>
      <c r="H114" s="379"/>
      <c r="I114" s="380"/>
      <c r="J114" s="381"/>
      <c r="K114" s="377" t="str">
        <f>IF(TRIM(J114)="", "", IF(VLOOKUP(J114,'Footnotes list'!$D$9:$E$58,2,FALSE)=0,"",VLOOKUP(J114,'Footnotes list'!$D$9:$E$58,2,FALSE) ) )</f>
        <v/>
      </c>
      <c r="L114" s="131">
        <f t="shared" ref="L114:L115" si="19">SUM(L9,L12,L15,L18,L21,L24,L27,L30,L33,L36,L39,L42,L45,L48,L51,L54,L57,L60,L63,L66,L69,L72,L75,L78,L81,L84,L87,L96,L105)</f>
        <v>0</v>
      </c>
      <c r="M114" s="379"/>
      <c r="N114" s="380"/>
      <c r="O114" s="381"/>
      <c r="P114" s="377" t="str">
        <f>IF(TRIM(O114)="", "", IF(VLOOKUP(O114,'Footnotes list'!$D$9:$E$58,2,FALSE)=0,"",VLOOKUP(O114,'Footnotes list'!$D$9:$E$58,2,FALSE) ) )</f>
        <v/>
      </c>
      <c r="Q114" s="131">
        <f t="shared" ref="Q114:Q115" si="20">SUM(Q9,Q12,Q15,Q18,Q21,Q24,Q27,Q30,Q33,Q36,Q39,Q42,Q45,Q48,Q51,Q54,Q57,Q60,Q63,Q66,Q69,Q72,Q75,Q78,Q81,Q84,Q87,Q96,Q105)</f>
        <v>0</v>
      </c>
      <c r="R114" s="379"/>
      <c r="S114" s="380"/>
      <c r="T114" s="381"/>
      <c r="U114" s="377" t="str">
        <f>IF(TRIM(T114)="", "", IF(VLOOKUP(T114,'Footnotes list'!$D$9:$E$58,2,FALSE)=0,"",VLOOKUP(T114,'Footnotes list'!$D$9:$E$58,2,FALSE) ) )</f>
        <v/>
      </c>
      <c r="V114" s="131">
        <f t="shared" ref="V114:V115" si="21">SUM(V9,V12,V15,V18,V21,V24,V27,V30,V33,V36,V39,V42,V45,V48,V51,V54,V57,V60,V63,V66,V69,V72,V75,V78,V81,V84,V87,V96,V105)</f>
        <v>0</v>
      </c>
      <c r="W114" s="379"/>
      <c r="X114" s="380"/>
      <c r="Y114" s="381"/>
      <c r="Z114" s="377" t="str">
        <f>IF(TRIM(Y114)="", "", IF(VLOOKUP(Y114,'Footnotes list'!$D$9:$E$58,2,FALSE)=0,"",VLOOKUP(Y114,'Footnotes list'!$D$9:$E$58,2,FALSE) ) )</f>
        <v/>
      </c>
      <c r="AA114" s="129">
        <f t="shared" ref="AA114:AA115" si="22">SUM(AA9,AA12,AA15,AA18,AA21,AA24,AA27,AA30,AA33,AA36,AA39,AA42,AA45,AA48,AA51,AA54,AA57,AA60,AA63,AA66,AA69,AA72,AA75,AA78,AA81,AA84,AA87,AA96,AA105)</f>
        <v>0</v>
      </c>
      <c r="AB114" s="379"/>
      <c r="AC114" s="380"/>
      <c r="AD114" s="381"/>
      <c r="AE114" s="377" t="str">
        <f>IF(TRIM(AD114)="", "", IF(VLOOKUP(AD114,'Footnotes list'!$D$9:$E$58,2,FALSE)=0,"",VLOOKUP(AD114,'Footnotes list'!$D$9:$E$58,2,FALSE) ) )</f>
        <v/>
      </c>
      <c r="AF114" s="131">
        <f t="shared" ref="AF114:AF115" si="23">SUM(AF9,AF12,AF15,AF18,AF21,AF24,AF27,AF30,AF33,AF36,AF39,AF42,AF45,AF48,AF51,AF54,AF57,AF60,AF63,AF66,AF69,AF72,AF75,AF78,AF81,AF84,AF87,AF96,AF105)</f>
        <v>0</v>
      </c>
      <c r="AG114" s="379"/>
      <c r="AH114" s="380"/>
      <c r="AI114" s="381"/>
      <c r="AJ114" s="377" t="str">
        <f>IF(TRIM(AI114)="", "", IF(VLOOKUP(AI114,'Footnotes list'!$D$9:$E$58,2,FALSE)=0,"",VLOOKUP(AI114,'Footnotes list'!$D$9:$E$58,2,FALSE) ) )</f>
        <v/>
      </c>
      <c r="AK114" s="131">
        <f t="shared" ref="AK114:AK115" si="24">SUM(AK9,AK12,AK15,AK18,AK21,AK24,AK27,AK30,AK33,AK36,AK39,AK42,AK45,AK48,AK51,AK54,AK57,AK60,AK63,AK66,AK69,AK72,AK75,AK78,AK81,AK84,AK87,AK96,AK105)</f>
        <v>0</v>
      </c>
      <c r="AL114" s="379"/>
      <c r="AM114" s="380"/>
      <c r="AN114" s="381"/>
      <c r="AO114" s="377" t="str">
        <f>IF(TRIM(AN114)="", "", IF(VLOOKUP(AN114,'Footnotes list'!$D$9:$E$58,2,FALSE)=0,"",VLOOKUP(AN114,'Footnotes list'!$D$9:$E$58,2,FALSE) ) )</f>
        <v/>
      </c>
      <c r="AP114" s="131">
        <f t="shared" ref="AP114:AP115" si="25">SUM(AP9,AP12,AP15,AP18,AP21,AP24,AP27,AP30,AP33,AP36,AP39,AP42,AP45,AP48,AP51,AP54,AP57,AP60,AP63,AP66,AP69,AP72,AP75,AP78,AP81,AP84,AP87,AP96,AP105)</f>
        <v>0</v>
      </c>
      <c r="AQ114" s="379"/>
      <c r="AR114" s="380"/>
      <c r="AS114" s="381"/>
      <c r="AT114" s="377" t="str">
        <f>IF(TRIM(AS114)="", "", IF(VLOOKUP(AS114,'Footnotes list'!$D$9:$E$58,2,FALSE)=0,"",VLOOKUP(AS114,'Footnotes list'!$D$9:$E$58,2,FALSE) ) )</f>
        <v/>
      </c>
      <c r="AU114" s="131">
        <f t="shared" ref="AU114:AU115" si="26">SUM(AU9,AU12,AU15,AU18,AU21,AU24,AU27,AU30,AU33,AU36,AU39,AU42,AU45,AU48,AU51,AU54,AU57,AU60,AU63,AU66,AU69,AU72,AU75,AU78,AU81,AU84,AU87,AU96,AU105)</f>
        <v>0</v>
      </c>
      <c r="AV114" s="379"/>
      <c r="AW114" s="380"/>
      <c r="AX114" s="381"/>
      <c r="AY114" s="377" t="str">
        <f>IF(TRIM(AX114)="", "", IF(VLOOKUP(AX114,'Footnotes list'!$D$9:$E$58,2,FALSE)=0,"",VLOOKUP(AX114,'Footnotes list'!$D$9:$E$58,2,FALSE) ) )</f>
        <v/>
      </c>
    </row>
    <row r="115" spans="2:51" ht="15" customHeight="1" thickBot="1" x14ac:dyDescent="0.4">
      <c r="B115" s="536"/>
      <c r="C115" s="79" t="s">
        <v>429</v>
      </c>
      <c r="D115" s="530"/>
      <c r="E115" s="47" t="s">
        <v>146</v>
      </c>
      <c r="F115" s="54" t="s">
        <v>234</v>
      </c>
      <c r="G115" s="127">
        <f t="shared" si="18"/>
        <v>0</v>
      </c>
      <c r="H115" s="379"/>
      <c r="I115" s="380"/>
      <c r="J115" s="381"/>
      <c r="K115" s="377" t="str">
        <f>IF(TRIM(J115)="", "", IF(VLOOKUP(J115,'Footnotes list'!$D$9:$E$58,2,FALSE)=0,"",VLOOKUP(J115,'Footnotes list'!$D$9:$E$58,2,FALSE) ) )</f>
        <v/>
      </c>
      <c r="L115" s="132">
        <f t="shared" si="19"/>
        <v>0</v>
      </c>
      <c r="M115" s="379"/>
      <c r="N115" s="380"/>
      <c r="O115" s="381"/>
      <c r="P115" s="377" t="str">
        <f>IF(TRIM(O115)="", "", IF(VLOOKUP(O115,'Footnotes list'!$D$9:$E$58,2,FALSE)=0,"",VLOOKUP(O115,'Footnotes list'!$D$9:$E$58,2,FALSE) ) )</f>
        <v/>
      </c>
      <c r="Q115" s="132">
        <f t="shared" si="20"/>
        <v>0</v>
      </c>
      <c r="R115" s="379"/>
      <c r="S115" s="380"/>
      <c r="T115" s="381"/>
      <c r="U115" s="377" t="str">
        <f>IF(TRIM(T115)="", "", IF(VLOOKUP(T115,'Footnotes list'!$D$9:$E$58,2,FALSE)=0,"",VLOOKUP(T115,'Footnotes list'!$D$9:$E$58,2,FALSE) ) )</f>
        <v/>
      </c>
      <c r="V115" s="132">
        <f t="shared" si="21"/>
        <v>0</v>
      </c>
      <c r="W115" s="379"/>
      <c r="X115" s="380"/>
      <c r="Y115" s="381"/>
      <c r="Z115" s="377" t="str">
        <f>IF(TRIM(Y115)="", "", IF(VLOOKUP(Y115,'Footnotes list'!$D$9:$E$58,2,FALSE)=0,"",VLOOKUP(Y115,'Footnotes list'!$D$9:$E$58,2,FALSE) ) )</f>
        <v/>
      </c>
      <c r="AA115" s="127">
        <f t="shared" si="22"/>
        <v>0</v>
      </c>
      <c r="AB115" s="379"/>
      <c r="AC115" s="380"/>
      <c r="AD115" s="381"/>
      <c r="AE115" s="377" t="str">
        <f>IF(TRIM(AD115)="", "", IF(VLOOKUP(AD115,'Footnotes list'!$D$9:$E$58,2,FALSE)=0,"",VLOOKUP(AD115,'Footnotes list'!$D$9:$E$58,2,FALSE) ) )</f>
        <v/>
      </c>
      <c r="AF115" s="132">
        <f t="shared" si="23"/>
        <v>0</v>
      </c>
      <c r="AG115" s="379"/>
      <c r="AH115" s="380"/>
      <c r="AI115" s="381"/>
      <c r="AJ115" s="377" t="str">
        <f>IF(TRIM(AI115)="", "", IF(VLOOKUP(AI115,'Footnotes list'!$D$9:$E$58,2,FALSE)=0,"",VLOOKUP(AI115,'Footnotes list'!$D$9:$E$58,2,FALSE) ) )</f>
        <v/>
      </c>
      <c r="AK115" s="132">
        <f t="shared" si="24"/>
        <v>0</v>
      </c>
      <c r="AL115" s="379"/>
      <c r="AM115" s="380"/>
      <c r="AN115" s="381"/>
      <c r="AO115" s="377" t="str">
        <f>IF(TRIM(AN115)="", "", IF(VLOOKUP(AN115,'Footnotes list'!$D$9:$E$58,2,FALSE)=0,"",VLOOKUP(AN115,'Footnotes list'!$D$9:$E$58,2,FALSE) ) )</f>
        <v/>
      </c>
      <c r="AP115" s="132">
        <f t="shared" si="25"/>
        <v>0</v>
      </c>
      <c r="AQ115" s="379"/>
      <c r="AR115" s="380"/>
      <c r="AS115" s="381"/>
      <c r="AT115" s="377" t="str">
        <f>IF(TRIM(AS115)="", "", IF(VLOOKUP(AS115,'Footnotes list'!$D$9:$E$58,2,FALSE)=0,"",VLOOKUP(AS115,'Footnotes list'!$D$9:$E$58,2,FALSE) ) )</f>
        <v/>
      </c>
      <c r="AU115" s="127">
        <f t="shared" si="26"/>
        <v>0</v>
      </c>
      <c r="AV115" s="379"/>
      <c r="AW115" s="380"/>
      <c r="AX115" s="381"/>
      <c r="AY115" s="377" t="str">
        <f>IF(TRIM(AX115)="", "", IF(VLOOKUP(AX115,'Footnotes list'!$D$9:$E$58,2,FALSE)=0,"",VLOOKUP(AX115,'Footnotes list'!$D$9:$E$58,2,FALSE) ) )</f>
        <v/>
      </c>
    </row>
    <row r="116" spans="2:51" ht="15" customHeight="1" x14ac:dyDescent="0.35">
      <c r="B116" s="534" t="s">
        <v>143</v>
      </c>
      <c r="C116" s="41" t="s">
        <v>143</v>
      </c>
      <c r="D116" s="528" t="s">
        <v>105</v>
      </c>
      <c r="E116" s="42" t="s">
        <v>144</v>
      </c>
      <c r="F116" s="43" t="s">
        <v>151</v>
      </c>
      <c r="G116" s="130">
        <f>SUM(G8,G11,G14,G17,G20,G23,G26,G29,G32,G35,G38,G41,G44,G47,G50,G53,G56,G59,G62,G65,G68,G71,G74,G77,G80,G83,G86,G89,G92,G95,G98,G101,G104)</f>
        <v>0</v>
      </c>
      <c r="H116" s="373"/>
      <c r="I116" s="374"/>
      <c r="J116" s="375"/>
      <c r="K116" s="376" t="str">
        <f>IF(TRIM(J116)="", "", IF(VLOOKUP(J116,'Footnotes list'!$D$9:$E$58,2,FALSE)=0,"",VLOOKUP(J116,'Footnotes list'!$D$9:$E$58,2,FALSE) ) )</f>
        <v/>
      </c>
      <c r="L116" s="130">
        <f>SUM(L8,L11,L14,L17,L20,L23,L26,L29,L32,L35,L38,L41,L44,L47,L50,L53,L56,L59,L62,L65,L68,L71,L74,L77,L80,L83,L86,L89,L92,L95,L98,L101,L104)</f>
        <v>0</v>
      </c>
      <c r="M116" s="373"/>
      <c r="N116" s="374"/>
      <c r="O116" s="375"/>
      <c r="P116" s="376" t="str">
        <f>IF(TRIM(O116)="", "", IF(VLOOKUP(O116,'Footnotes list'!$D$9:$E$58,2,FALSE)=0,"",VLOOKUP(O116,'Footnotes list'!$D$9:$E$58,2,FALSE) ) )</f>
        <v/>
      </c>
      <c r="Q116" s="130">
        <f>SUM(Q8,Q11,Q14,Q17,Q20,Q23,Q26,Q29,Q32,Q35,Q38,Q41,Q44,Q47,Q50,Q53,Q56,Q59,Q62,Q65,Q68,Q71,Q74,Q77,Q80,Q83,Q86,Q89,Q92,Q95,Q98,Q101,Q104)</f>
        <v>0</v>
      </c>
      <c r="R116" s="373"/>
      <c r="S116" s="374"/>
      <c r="T116" s="375"/>
      <c r="U116" s="376" t="str">
        <f>IF(TRIM(T116)="", "", IF(VLOOKUP(T116,'Footnotes list'!$D$9:$E$58,2,FALSE)=0,"",VLOOKUP(T116,'Footnotes list'!$D$9:$E$58,2,FALSE) ) )</f>
        <v/>
      </c>
      <c r="V116" s="130">
        <f>SUM(V8,V11,V14,V17,V20,V23,V26,V29,V32,V35,V38,V41,V44,V47,V50,V53,V56,V59,V62,V65,V68,V71,V74,V77,V80,V83,V86,V89,V92,V95,V98,V101,V104)</f>
        <v>0</v>
      </c>
      <c r="W116" s="373"/>
      <c r="X116" s="374"/>
      <c r="Y116" s="375"/>
      <c r="Z116" s="376" t="str">
        <f>IF(TRIM(Y116)="", "", IF(VLOOKUP(Y116,'Footnotes list'!$D$9:$E$58,2,FALSE)=0,"",VLOOKUP(Y116,'Footnotes list'!$D$9:$E$58,2,FALSE) ) )</f>
        <v/>
      </c>
      <c r="AA116" s="130">
        <f>SUM(AA8,AA11,AA14,AA17,AA20,AA23,AA26,AA29,AA32,AA35,AA38,AA41,AA44,AA47,AA50,AA53,AA56,AA59,AA62,AA65,AA68,AA71,AA74,AA77,AA80,AA83,AA86,AA89,AA92,AA95,AA98,AA101,AA104)</f>
        <v>0</v>
      </c>
      <c r="AB116" s="373"/>
      <c r="AC116" s="374"/>
      <c r="AD116" s="375"/>
      <c r="AE116" s="376" t="str">
        <f>IF(TRIM(AD116)="", "", IF(VLOOKUP(AD116,'Footnotes list'!$D$9:$E$58,2,FALSE)=0,"",VLOOKUP(AD116,'Footnotes list'!$D$9:$E$58,2,FALSE) ) )</f>
        <v/>
      </c>
      <c r="AF116" s="130">
        <f>SUM(AF8,AF11,AF14,AF17,AF20,AF23,AF26,AF29,AF32,AF35,AF38,AF41,AF44,AF47,AF50,AF53,AF56,AF59,AF62,AF65,AF68,AF71,AF74,AF77,AF80,AF83,AF86,AF89,AF92,AF95,AF98,AF101,AF104)</f>
        <v>0</v>
      </c>
      <c r="AG116" s="373"/>
      <c r="AH116" s="374"/>
      <c r="AI116" s="375"/>
      <c r="AJ116" s="376" t="str">
        <f>IF(TRIM(AI116)="", "", IF(VLOOKUP(AI116,'Footnotes list'!$D$9:$E$58,2,FALSE)=0,"",VLOOKUP(AI116,'Footnotes list'!$D$9:$E$58,2,FALSE) ) )</f>
        <v/>
      </c>
      <c r="AK116" s="130">
        <f>SUM(AK8,AK11,AK14,AK17,AK20,AK23,AK26,AK29,AK32,AK35,AK38,AK41,AK44,AK47,AK50,AK53,AK56,AK59,AK62,AK65,AK68,AK71,AK74,AK77,AK80,AK83,AK86,AK89,AK92,AK95,AK98,AK101,AK104)</f>
        <v>0</v>
      </c>
      <c r="AL116" s="373"/>
      <c r="AM116" s="374"/>
      <c r="AN116" s="375"/>
      <c r="AO116" s="376" t="str">
        <f>IF(TRIM(AN116)="", "", IF(VLOOKUP(AN116,'Footnotes list'!$D$9:$E$58,2,FALSE)=0,"",VLOOKUP(AN116,'Footnotes list'!$D$9:$E$58,2,FALSE) ) )</f>
        <v/>
      </c>
      <c r="AP116" s="130">
        <f>SUM(AP8,AP11,AP14,AP17,AP20,AP23,AP26,AP29,AP32,AP35,AP38,AP41,AP44,AP47,AP50,AP53,AP56,AP59,AP62,AP65,AP68,AP71,AP74,AP77,AP80,AP83,AP86,AP89,AP92,AP95,AP98,AP101,AP104)</f>
        <v>0</v>
      </c>
      <c r="AQ116" s="373"/>
      <c r="AR116" s="374"/>
      <c r="AS116" s="375"/>
      <c r="AT116" s="376" t="str">
        <f>IF(TRIM(AS116)="", "", IF(VLOOKUP(AS116,'Footnotes list'!$D$9:$E$58,2,FALSE)=0,"",VLOOKUP(AS116,'Footnotes list'!$D$9:$E$58,2,FALSE) ) )</f>
        <v/>
      </c>
      <c r="AU116" s="130">
        <f>SUM(AU8,AU11,AU14,AU17,AU20,AU23,AU26,AU29,AU32,AU35,AU38,AU41,AU44,AU47,AU50,AU53,AU56,AU59,AU62,AU65,AU68,AU71,AU74,AU77,AU80,AU83,AU86,AU89,AU92,AU95,AU98,AU101,AU104)</f>
        <v>0</v>
      </c>
      <c r="AV116" s="373"/>
      <c r="AW116" s="374"/>
      <c r="AX116" s="375"/>
      <c r="AY116" s="376" t="str">
        <f>IF(TRIM(AX116)="", "", IF(VLOOKUP(AX116,'Footnotes list'!$D$9:$E$58,2,FALSE)=0,"",VLOOKUP(AX116,'Footnotes list'!$D$9:$E$58,2,FALSE) ) )</f>
        <v/>
      </c>
    </row>
    <row r="117" spans="2:51" ht="15" customHeight="1" x14ac:dyDescent="0.35">
      <c r="B117" s="535"/>
      <c r="C117" s="50" t="s">
        <v>143</v>
      </c>
      <c r="D117" s="529"/>
      <c r="E117" s="51" t="s">
        <v>145</v>
      </c>
      <c r="F117" s="52" t="s">
        <v>152</v>
      </c>
      <c r="G117" s="131">
        <f t="shared" ref="G117:G118" si="27">SUM(G9,G12,G15,G18,G21,G24,G27,G30,G33,G36,G39,G42,G45,G48,G51,G54,G57,G60,G63,G66,G69,G72,G75,G78,G81,G84,G87,G90,G93,G96,G99,G102,G105)</f>
        <v>0</v>
      </c>
      <c r="H117" s="379"/>
      <c r="I117" s="380"/>
      <c r="J117" s="381"/>
      <c r="K117" s="377" t="str">
        <f>IF(TRIM(J117)="", "", IF(VLOOKUP(J117,'Footnotes list'!$D$9:$E$58,2,FALSE)=0,"",VLOOKUP(J117,'Footnotes list'!$D$9:$E$58,2,FALSE) ) )</f>
        <v/>
      </c>
      <c r="L117" s="131">
        <f t="shared" ref="L117:L118" si="28">SUM(L9,L12,L15,L18,L21,L24,L27,L30,L33,L36,L39,L42,L45,L48,L51,L54,L57,L60,L63,L66,L69,L72,L75,L78,L81,L84,L87,L90,L93,L96,L99,L102,L105)</f>
        <v>0</v>
      </c>
      <c r="M117" s="379"/>
      <c r="N117" s="380"/>
      <c r="O117" s="381"/>
      <c r="P117" s="377" t="str">
        <f>IF(TRIM(O117)="", "", IF(VLOOKUP(O117,'Footnotes list'!$D$9:$E$58,2,FALSE)=0,"",VLOOKUP(O117,'Footnotes list'!$D$9:$E$58,2,FALSE) ) )</f>
        <v/>
      </c>
      <c r="Q117" s="131">
        <f t="shared" ref="Q117:Q118" si="29">SUM(Q9,Q12,Q15,Q18,Q21,Q24,Q27,Q30,Q33,Q36,Q39,Q42,Q45,Q48,Q51,Q54,Q57,Q60,Q63,Q66,Q69,Q72,Q75,Q78,Q81,Q84,Q87,Q90,Q93,Q96,Q99,Q102,Q105)</f>
        <v>0</v>
      </c>
      <c r="R117" s="379"/>
      <c r="S117" s="380"/>
      <c r="T117" s="381"/>
      <c r="U117" s="377" t="str">
        <f>IF(TRIM(T117)="", "", IF(VLOOKUP(T117,'Footnotes list'!$D$9:$E$58,2,FALSE)=0,"",VLOOKUP(T117,'Footnotes list'!$D$9:$E$58,2,FALSE) ) )</f>
        <v/>
      </c>
      <c r="V117" s="131">
        <f t="shared" ref="V117:V118" si="30">SUM(V9,V12,V15,V18,V21,V24,V27,V30,V33,V36,V39,V42,V45,V48,V51,V54,V57,V60,V63,V66,V69,V72,V75,V78,V81,V84,V87,V90,V93,V96,V99,V102,V105)</f>
        <v>0</v>
      </c>
      <c r="W117" s="379"/>
      <c r="X117" s="380"/>
      <c r="Y117" s="381"/>
      <c r="Z117" s="377" t="str">
        <f>IF(TRIM(Y117)="", "", IF(VLOOKUP(Y117,'Footnotes list'!$D$9:$E$58,2,FALSE)=0,"",VLOOKUP(Y117,'Footnotes list'!$D$9:$E$58,2,FALSE) ) )</f>
        <v/>
      </c>
      <c r="AA117" s="129">
        <f t="shared" ref="AA117:AA118" si="31">SUM(AA9,AA12,AA15,AA18,AA21,AA24,AA27,AA30,AA33,AA36,AA39,AA42,AA45,AA48,AA51,AA54,AA57,AA60,AA63,AA66,AA69,AA72,AA75,AA78,AA81,AA84,AA87,AA90,AA93,AA96,AA99,AA102,AA105)</f>
        <v>0</v>
      </c>
      <c r="AB117" s="379"/>
      <c r="AC117" s="380"/>
      <c r="AD117" s="381"/>
      <c r="AE117" s="377" t="str">
        <f>IF(TRIM(AD117)="", "", IF(VLOOKUP(AD117,'Footnotes list'!$D$9:$E$58,2,FALSE)=0,"",VLOOKUP(AD117,'Footnotes list'!$D$9:$E$58,2,FALSE) ) )</f>
        <v/>
      </c>
      <c r="AF117" s="131">
        <f t="shared" ref="AF117:AF118" si="32">SUM(AF9,AF12,AF15,AF18,AF21,AF24,AF27,AF30,AF33,AF36,AF39,AF42,AF45,AF48,AF51,AF54,AF57,AF60,AF63,AF66,AF69,AF72,AF75,AF78,AF81,AF84,AF87,AF90,AF93,AF96,AF99,AF102,AF105)</f>
        <v>0</v>
      </c>
      <c r="AG117" s="379"/>
      <c r="AH117" s="380"/>
      <c r="AI117" s="381"/>
      <c r="AJ117" s="377" t="str">
        <f>IF(TRIM(AI117)="", "", IF(VLOOKUP(AI117,'Footnotes list'!$D$9:$E$58,2,FALSE)=0,"",VLOOKUP(AI117,'Footnotes list'!$D$9:$E$58,2,FALSE) ) )</f>
        <v/>
      </c>
      <c r="AK117" s="131">
        <f t="shared" ref="AK117:AK118" si="33">SUM(AK9,AK12,AK15,AK18,AK21,AK24,AK27,AK30,AK33,AK36,AK39,AK42,AK45,AK48,AK51,AK54,AK57,AK60,AK63,AK66,AK69,AK72,AK75,AK78,AK81,AK84,AK87,AK90,AK93,AK96,AK99,AK102,AK105)</f>
        <v>0</v>
      </c>
      <c r="AL117" s="379"/>
      <c r="AM117" s="380"/>
      <c r="AN117" s="381"/>
      <c r="AO117" s="377" t="str">
        <f>IF(TRIM(AN117)="", "", IF(VLOOKUP(AN117,'Footnotes list'!$D$9:$E$58,2,FALSE)=0,"",VLOOKUP(AN117,'Footnotes list'!$D$9:$E$58,2,FALSE) ) )</f>
        <v/>
      </c>
      <c r="AP117" s="131">
        <f t="shared" ref="AP117:AP118" si="34">SUM(AP9,AP12,AP15,AP18,AP21,AP24,AP27,AP30,AP33,AP36,AP39,AP42,AP45,AP48,AP51,AP54,AP57,AP60,AP63,AP66,AP69,AP72,AP75,AP78,AP81,AP84,AP87,AP90,AP93,AP96,AP99,AP102,AP105)</f>
        <v>0</v>
      </c>
      <c r="AQ117" s="379"/>
      <c r="AR117" s="380"/>
      <c r="AS117" s="381"/>
      <c r="AT117" s="377" t="str">
        <f>IF(TRIM(AS117)="", "", IF(VLOOKUP(AS117,'Footnotes list'!$D$9:$E$58,2,FALSE)=0,"",VLOOKUP(AS117,'Footnotes list'!$D$9:$E$58,2,FALSE) ) )</f>
        <v/>
      </c>
      <c r="AU117" s="131">
        <f t="shared" ref="AU117:AU118" si="35">SUM(AU9,AU12,AU15,AU18,AU21,AU24,AU27,AU30,AU33,AU36,AU39,AU42,AU45,AU48,AU51,AU54,AU57,AU60,AU63,AU66,AU69,AU72,AU75,AU78,AU81,AU84,AU87,AU90,AU93,AU96,AU99,AU102,AU105)</f>
        <v>0</v>
      </c>
      <c r="AV117" s="379"/>
      <c r="AW117" s="380"/>
      <c r="AX117" s="381"/>
      <c r="AY117" s="377" t="str">
        <f>IF(TRIM(AX117)="", "", IF(VLOOKUP(AX117,'Footnotes list'!$D$9:$E$58,2,FALSE)=0,"",VLOOKUP(AX117,'Footnotes list'!$D$9:$E$58,2,FALSE) ) )</f>
        <v/>
      </c>
    </row>
    <row r="118" spans="2:51" ht="15" customHeight="1" thickBot="1" x14ac:dyDescent="0.4">
      <c r="B118" s="536"/>
      <c r="C118" s="53" t="s">
        <v>143</v>
      </c>
      <c r="D118" s="530"/>
      <c r="E118" s="47" t="s">
        <v>146</v>
      </c>
      <c r="F118" s="54" t="s">
        <v>234</v>
      </c>
      <c r="G118" s="127">
        <f t="shared" si="27"/>
        <v>0</v>
      </c>
      <c r="H118" s="379"/>
      <c r="I118" s="380"/>
      <c r="J118" s="381"/>
      <c r="K118" s="377" t="str">
        <f>IF(TRIM(J118)="", "", IF(VLOOKUP(J118,'Footnotes list'!$D$9:$E$58,2,FALSE)=0,"",VLOOKUP(J118,'Footnotes list'!$D$9:$E$58,2,FALSE) ) )</f>
        <v/>
      </c>
      <c r="L118" s="132">
        <f t="shared" si="28"/>
        <v>0</v>
      </c>
      <c r="M118" s="379"/>
      <c r="N118" s="380"/>
      <c r="O118" s="381"/>
      <c r="P118" s="377" t="str">
        <f>IF(TRIM(O118)="", "", IF(VLOOKUP(O118,'Footnotes list'!$D$9:$E$58,2,FALSE)=0,"",VLOOKUP(O118,'Footnotes list'!$D$9:$E$58,2,FALSE) ) )</f>
        <v/>
      </c>
      <c r="Q118" s="132">
        <f t="shared" si="29"/>
        <v>0</v>
      </c>
      <c r="R118" s="379"/>
      <c r="S118" s="380"/>
      <c r="T118" s="381"/>
      <c r="U118" s="377" t="str">
        <f>IF(TRIM(T118)="", "", IF(VLOOKUP(T118,'Footnotes list'!$D$9:$E$58,2,FALSE)=0,"",VLOOKUP(T118,'Footnotes list'!$D$9:$E$58,2,FALSE) ) )</f>
        <v/>
      </c>
      <c r="V118" s="132">
        <f t="shared" si="30"/>
        <v>0</v>
      </c>
      <c r="W118" s="379"/>
      <c r="X118" s="380"/>
      <c r="Y118" s="381"/>
      <c r="Z118" s="377" t="str">
        <f>IF(TRIM(Y118)="", "", IF(VLOOKUP(Y118,'Footnotes list'!$D$9:$E$58,2,FALSE)=0,"",VLOOKUP(Y118,'Footnotes list'!$D$9:$E$58,2,FALSE) ) )</f>
        <v/>
      </c>
      <c r="AA118" s="127">
        <f t="shared" si="31"/>
        <v>0</v>
      </c>
      <c r="AB118" s="379"/>
      <c r="AC118" s="380"/>
      <c r="AD118" s="381"/>
      <c r="AE118" s="377" t="str">
        <f>IF(TRIM(AD118)="", "", IF(VLOOKUP(AD118,'Footnotes list'!$D$9:$E$58,2,FALSE)=0,"",VLOOKUP(AD118,'Footnotes list'!$D$9:$E$58,2,FALSE) ) )</f>
        <v/>
      </c>
      <c r="AF118" s="132">
        <f t="shared" si="32"/>
        <v>0</v>
      </c>
      <c r="AG118" s="379"/>
      <c r="AH118" s="380"/>
      <c r="AI118" s="381"/>
      <c r="AJ118" s="377" t="str">
        <f>IF(TRIM(AI118)="", "", IF(VLOOKUP(AI118,'Footnotes list'!$D$9:$E$58,2,FALSE)=0,"",VLOOKUP(AI118,'Footnotes list'!$D$9:$E$58,2,FALSE) ) )</f>
        <v/>
      </c>
      <c r="AK118" s="132">
        <f t="shared" si="33"/>
        <v>0</v>
      </c>
      <c r="AL118" s="379"/>
      <c r="AM118" s="380"/>
      <c r="AN118" s="381"/>
      <c r="AO118" s="377" t="str">
        <f>IF(TRIM(AN118)="", "", IF(VLOOKUP(AN118,'Footnotes list'!$D$9:$E$58,2,FALSE)=0,"",VLOOKUP(AN118,'Footnotes list'!$D$9:$E$58,2,FALSE) ) )</f>
        <v/>
      </c>
      <c r="AP118" s="132">
        <f t="shared" si="34"/>
        <v>0</v>
      </c>
      <c r="AQ118" s="379"/>
      <c r="AR118" s="380"/>
      <c r="AS118" s="381"/>
      <c r="AT118" s="377" t="str">
        <f>IF(TRIM(AS118)="", "", IF(VLOOKUP(AS118,'Footnotes list'!$D$9:$E$58,2,FALSE)=0,"",VLOOKUP(AS118,'Footnotes list'!$D$9:$E$58,2,FALSE) ) )</f>
        <v/>
      </c>
      <c r="AU118" s="127">
        <f t="shared" si="35"/>
        <v>0</v>
      </c>
      <c r="AV118" s="379"/>
      <c r="AW118" s="380"/>
      <c r="AX118" s="381"/>
      <c r="AY118" s="377" t="str">
        <f>IF(TRIM(AX118)="", "", IF(VLOOKUP(AX118,'Footnotes list'!$D$9:$E$58,2,FALSE)=0,"",VLOOKUP(AX118,'Footnotes list'!$D$9:$E$58,2,FALSE) ) )</f>
        <v/>
      </c>
    </row>
    <row r="120" spans="2:51" ht="15" customHeight="1" x14ac:dyDescent="0.35">
      <c r="B120" s="58" t="s">
        <v>242</v>
      </c>
      <c r="C120" s="59"/>
      <c r="D120" s="60"/>
      <c r="E120" s="60"/>
      <c r="G120" s="40"/>
      <c r="H120" s="40"/>
      <c r="I120" s="60"/>
      <c r="J120" s="61"/>
      <c r="W120" s="62"/>
      <c r="X120" s="62"/>
      <c r="Y120" s="62"/>
      <c r="Z120" s="62"/>
      <c r="AB120" s="62"/>
      <c r="AC120" s="62"/>
      <c r="AD120" s="62"/>
      <c r="AE120" s="62"/>
      <c r="AF120" s="62"/>
      <c r="AQ120" s="62"/>
      <c r="AR120" s="62"/>
      <c r="AS120" s="62"/>
      <c r="AT120" s="62"/>
    </row>
    <row r="121" spans="2:51" ht="6" customHeight="1" x14ac:dyDescent="0.35">
      <c r="B121" s="59"/>
      <c r="C121" s="59"/>
      <c r="D121" s="60"/>
      <c r="E121" s="60"/>
      <c r="G121" s="40"/>
      <c r="H121" s="40"/>
      <c r="I121" s="60"/>
      <c r="J121" s="61"/>
      <c r="W121" s="62"/>
      <c r="X121" s="62"/>
      <c r="Y121" s="62"/>
      <c r="Z121" s="62"/>
      <c r="AB121" s="62"/>
      <c r="AC121" s="62"/>
      <c r="AD121" s="62"/>
      <c r="AE121" s="62"/>
      <c r="AF121" s="62"/>
      <c r="AQ121" s="62"/>
      <c r="AR121" s="62"/>
      <c r="AS121" s="62"/>
      <c r="AT121" s="62"/>
    </row>
    <row r="122" spans="2:51" x14ac:dyDescent="0.35">
      <c r="B122" s="59" t="s">
        <v>243</v>
      </c>
      <c r="C122" s="59"/>
      <c r="D122" s="60"/>
      <c r="E122" s="60"/>
      <c r="G122" s="40"/>
      <c r="H122" s="40"/>
      <c r="I122" s="60"/>
      <c r="J122" s="61"/>
      <c r="W122" s="62"/>
      <c r="X122" s="62"/>
      <c r="Y122" s="62"/>
      <c r="Z122" s="62"/>
      <c r="AB122" s="62"/>
      <c r="AC122" s="62"/>
      <c r="AD122" s="62"/>
      <c r="AE122" s="62"/>
      <c r="AF122" s="62"/>
      <c r="AQ122" s="62"/>
      <c r="AR122" s="62"/>
      <c r="AS122" s="62"/>
      <c r="AT122" s="62"/>
    </row>
    <row r="123" spans="2:51" x14ac:dyDescent="0.35">
      <c r="B123" s="63" t="s">
        <v>244</v>
      </c>
      <c r="C123" s="83"/>
      <c r="D123" s="71"/>
      <c r="E123" s="64"/>
      <c r="G123" s="40"/>
      <c r="H123" s="40"/>
      <c r="I123" s="64"/>
      <c r="J123" s="64"/>
      <c r="W123" s="62"/>
      <c r="X123" s="62"/>
      <c r="Y123" s="62"/>
      <c r="Z123" s="62"/>
      <c r="AB123" s="62"/>
      <c r="AC123" s="62"/>
      <c r="AD123" s="62"/>
      <c r="AE123" s="62"/>
      <c r="AF123" s="62"/>
      <c r="AQ123" s="62"/>
      <c r="AR123" s="62"/>
      <c r="AS123" s="62"/>
      <c r="AT123" s="62"/>
    </row>
    <row r="124" spans="2:51" x14ac:dyDescent="0.35">
      <c r="B124" s="84" t="s">
        <v>293</v>
      </c>
      <c r="C124" s="85"/>
      <c r="D124" s="86"/>
      <c r="E124" s="65"/>
      <c r="G124" s="40"/>
      <c r="H124" s="40"/>
      <c r="I124" s="65"/>
      <c r="J124" s="65"/>
      <c r="W124" s="62"/>
      <c r="X124" s="62"/>
      <c r="Y124" s="62"/>
      <c r="Z124" s="62"/>
      <c r="AB124" s="62"/>
      <c r="AC124" s="62"/>
      <c r="AD124" s="62"/>
      <c r="AE124" s="62"/>
      <c r="AF124" s="62"/>
      <c r="AQ124" s="62"/>
      <c r="AR124" s="62"/>
      <c r="AS124" s="62"/>
      <c r="AT124" s="62"/>
    </row>
    <row r="125" spans="2:51" x14ac:dyDescent="0.35">
      <c r="B125" s="66" t="s">
        <v>245</v>
      </c>
      <c r="C125" s="66"/>
      <c r="D125" s="72"/>
      <c r="E125" s="64"/>
      <c r="G125" s="40"/>
      <c r="H125" s="40"/>
      <c r="I125" s="64"/>
      <c r="J125" s="64"/>
      <c r="W125" s="62"/>
      <c r="X125" s="62"/>
      <c r="Y125" s="62"/>
      <c r="Z125" s="62"/>
      <c r="AB125" s="62"/>
      <c r="AC125" s="62"/>
      <c r="AD125" s="62"/>
      <c r="AE125" s="62"/>
      <c r="AF125" s="62"/>
      <c r="AQ125" s="62"/>
      <c r="AR125" s="62"/>
      <c r="AS125" s="62"/>
      <c r="AT125" s="62"/>
    </row>
    <row r="126" spans="2:51" x14ac:dyDescent="0.35">
      <c r="B126" s="81" t="s">
        <v>246</v>
      </c>
      <c r="C126" s="74"/>
      <c r="D126" s="73"/>
      <c r="E126" s="64"/>
      <c r="G126" s="40"/>
      <c r="H126" s="40"/>
      <c r="I126" s="64"/>
      <c r="J126" s="64"/>
      <c r="W126" s="62"/>
      <c r="X126" s="62"/>
      <c r="Y126" s="62"/>
      <c r="Z126" s="62"/>
      <c r="AB126" s="62"/>
      <c r="AC126" s="62"/>
      <c r="AD126" s="62"/>
      <c r="AE126" s="62"/>
      <c r="AF126" s="62"/>
      <c r="AQ126" s="62"/>
      <c r="AR126" s="62"/>
      <c r="AS126" s="62"/>
      <c r="AT126" s="62"/>
    </row>
    <row r="127" spans="2:51" ht="6.75" customHeight="1" x14ac:dyDescent="0.35">
      <c r="B127" s="67"/>
      <c r="C127" s="67"/>
      <c r="D127" s="61"/>
      <c r="E127" s="61"/>
      <c r="G127" s="40"/>
      <c r="H127" s="40"/>
      <c r="I127" s="61"/>
      <c r="J127" s="61"/>
      <c r="W127" s="62"/>
      <c r="X127" s="62"/>
      <c r="Y127" s="62"/>
      <c r="Z127" s="62"/>
      <c r="AB127" s="62"/>
      <c r="AC127" s="62"/>
      <c r="AD127" s="62"/>
      <c r="AE127" s="62"/>
      <c r="AF127" s="62"/>
      <c r="AQ127" s="62"/>
      <c r="AR127" s="62"/>
      <c r="AS127" s="62"/>
      <c r="AT127" s="62"/>
    </row>
    <row r="128" spans="2:51" ht="6.75" customHeight="1" x14ac:dyDescent="0.35">
      <c r="B128" s="67"/>
      <c r="C128" s="67"/>
      <c r="D128" s="61"/>
      <c r="E128" s="61"/>
      <c r="G128" s="40"/>
      <c r="H128" s="40"/>
      <c r="I128" s="61"/>
      <c r="J128" s="61"/>
      <c r="W128" s="62"/>
      <c r="X128" s="62"/>
      <c r="Y128" s="62"/>
      <c r="Z128" s="62"/>
      <c r="AB128" s="62"/>
      <c r="AC128" s="62"/>
      <c r="AD128" s="62"/>
      <c r="AE128" s="62"/>
      <c r="AF128" s="62"/>
      <c r="AQ128" s="62"/>
      <c r="AR128" s="62"/>
      <c r="AS128" s="62"/>
      <c r="AT128" s="62"/>
    </row>
    <row r="129" spans="2:46" x14ac:dyDescent="0.35">
      <c r="B129" s="59" t="s">
        <v>247</v>
      </c>
      <c r="C129" s="68"/>
      <c r="D129" s="69"/>
      <c r="E129" s="69"/>
      <c r="G129" s="40"/>
      <c r="H129" s="40"/>
      <c r="I129" s="69"/>
      <c r="J129" s="69"/>
      <c r="W129" s="62"/>
      <c r="X129" s="62"/>
      <c r="Y129" s="62"/>
      <c r="Z129" s="62"/>
      <c r="AB129" s="62"/>
      <c r="AC129" s="62"/>
      <c r="AD129" s="62"/>
      <c r="AE129" s="62"/>
      <c r="AF129" s="62"/>
      <c r="AQ129" s="62"/>
      <c r="AR129" s="62"/>
      <c r="AS129" s="62"/>
      <c r="AT129" s="62"/>
    </row>
    <row r="130" spans="2:46" x14ac:dyDescent="0.35">
      <c r="B130" s="70" t="s">
        <v>249</v>
      </c>
      <c r="C130" s="70"/>
      <c r="D130" s="65"/>
      <c r="E130" s="65"/>
      <c r="G130" s="40"/>
      <c r="H130" s="40"/>
      <c r="I130" s="65"/>
      <c r="J130" s="65"/>
      <c r="W130" s="62"/>
      <c r="X130" s="62"/>
      <c r="Y130" s="62"/>
      <c r="Z130" s="62"/>
      <c r="AB130" s="62"/>
      <c r="AC130" s="62"/>
      <c r="AD130" s="62"/>
      <c r="AE130" s="62"/>
      <c r="AF130" s="62"/>
      <c r="AQ130" s="62"/>
      <c r="AR130" s="62"/>
      <c r="AS130" s="62"/>
      <c r="AT130" s="62"/>
    </row>
    <row r="131" spans="2:46" x14ac:dyDescent="0.35">
      <c r="B131" s="70" t="s">
        <v>248</v>
      </c>
      <c r="C131" s="70"/>
      <c r="D131" s="65"/>
      <c r="E131" s="65"/>
      <c r="G131" s="40"/>
      <c r="H131" s="40"/>
      <c r="I131" s="65"/>
      <c r="J131" s="65"/>
      <c r="W131" s="62"/>
      <c r="X131" s="62"/>
      <c r="Y131" s="62"/>
      <c r="Z131" s="62"/>
      <c r="AB131" s="62"/>
      <c r="AC131" s="62"/>
      <c r="AD131" s="62"/>
      <c r="AE131" s="62"/>
      <c r="AF131" s="62"/>
      <c r="AQ131" s="62"/>
      <c r="AR131" s="62"/>
      <c r="AS131" s="62"/>
      <c r="AT131" s="62"/>
    </row>
    <row r="132" spans="2:46" x14ac:dyDescent="0.35">
      <c r="B132" s="70" t="s">
        <v>250</v>
      </c>
      <c r="C132" s="70"/>
      <c r="D132" s="65"/>
      <c r="E132" s="65"/>
      <c r="G132" s="40"/>
      <c r="H132" s="40"/>
      <c r="I132" s="65"/>
      <c r="J132" s="65"/>
      <c r="W132" s="62"/>
      <c r="X132" s="62"/>
      <c r="Y132" s="62"/>
      <c r="Z132" s="62"/>
      <c r="AB132" s="62"/>
      <c r="AC132" s="62"/>
      <c r="AD132" s="62"/>
      <c r="AE132" s="62"/>
      <c r="AF132" s="62"/>
      <c r="AQ132" s="62"/>
      <c r="AR132" s="62"/>
      <c r="AS132" s="62"/>
      <c r="AT132" s="62"/>
    </row>
    <row r="133" spans="2:46" x14ac:dyDescent="0.35">
      <c r="B133" s="70"/>
      <c r="C133" s="70"/>
      <c r="D133" s="65"/>
      <c r="E133" s="65"/>
      <c r="G133" s="40"/>
      <c r="H133" s="40"/>
      <c r="I133" s="65"/>
      <c r="J133" s="65"/>
      <c r="W133" s="62"/>
      <c r="X133" s="62"/>
      <c r="Y133" s="62"/>
      <c r="Z133" s="62"/>
      <c r="AB133" s="62"/>
      <c r="AC133" s="62"/>
      <c r="AD133" s="62"/>
      <c r="AE133" s="62"/>
      <c r="AF133" s="62"/>
      <c r="AQ133" s="62"/>
      <c r="AR133" s="62"/>
      <c r="AS133" s="62"/>
      <c r="AT133" s="62"/>
    </row>
    <row r="134" spans="2:46" x14ac:dyDescent="0.35">
      <c r="B134" s="59" t="s">
        <v>251</v>
      </c>
    </row>
    <row r="135" spans="2:46" x14ac:dyDescent="0.35">
      <c r="B135" s="70" t="s">
        <v>253</v>
      </c>
    </row>
    <row r="136" spans="2:46" x14ac:dyDescent="0.35">
      <c r="B136" s="70" t="s">
        <v>252</v>
      </c>
    </row>
  </sheetData>
  <sheetProtection algorithmName="SHA-512" hashValue="T9ZxVxPiLSRap+mVukZ7sjRacobhVFuYFCvJ3+qvpMn7KyHrP5/dDh4MJgDHLmFl6vUdh6eKXgqcKpoMVN1kiw==" saltValue="GC+nc/oGdLvtpQkLP+L2GQ==" spinCount="100000" sheet="1" objects="1" scenarios="1"/>
  <mergeCells count="93">
    <mergeCell ref="B23:B25"/>
    <mergeCell ref="B26:B28"/>
    <mergeCell ref="B29:B31"/>
    <mergeCell ref="B32:B34"/>
    <mergeCell ref="D23:D25"/>
    <mergeCell ref="D26:D28"/>
    <mergeCell ref="D29:D31"/>
    <mergeCell ref="D32:D34"/>
    <mergeCell ref="B8:B10"/>
    <mergeCell ref="B11:B13"/>
    <mergeCell ref="B14:B16"/>
    <mergeCell ref="B17:B19"/>
    <mergeCell ref="B20:B22"/>
    <mergeCell ref="B62:B64"/>
    <mergeCell ref="B35:B37"/>
    <mergeCell ref="B38:B40"/>
    <mergeCell ref="B41:B43"/>
    <mergeCell ref="B44:B46"/>
    <mergeCell ref="B47:B49"/>
    <mergeCell ref="B65:B67"/>
    <mergeCell ref="B68:B70"/>
    <mergeCell ref="B71:B73"/>
    <mergeCell ref="B74:B76"/>
    <mergeCell ref="B77:B79"/>
    <mergeCell ref="B113:B115"/>
    <mergeCell ref="D113:D115"/>
    <mergeCell ref="B80:B82"/>
    <mergeCell ref="B83:B85"/>
    <mergeCell ref="B86:B88"/>
    <mergeCell ref="B89:B91"/>
    <mergeCell ref="B92:B94"/>
    <mergeCell ref="B107:B109"/>
    <mergeCell ref="D107:D109"/>
    <mergeCell ref="B110:B112"/>
    <mergeCell ref="D110:D112"/>
    <mergeCell ref="D77:D79"/>
    <mergeCell ref="D80:D82"/>
    <mergeCell ref="D83:D85"/>
    <mergeCell ref="D116:D118"/>
    <mergeCell ref="B104:B106"/>
    <mergeCell ref="B116:B118"/>
    <mergeCell ref="D86:D88"/>
    <mergeCell ref="D89:D91"/>
    <mergeCell ref="D92:D94"/>
    <mergeCell ref="D95:D97"/>
    <mergeCell ref="D98:D100"/>
    <mergeCell ref="B95:B97"/>
    <mergeCell ref="B98:B100"/>
    <mergeCell ref="B101:B103"/>
    <mergeCell ref="D101:D103"/>
    <mergeCell ref="D104:D106"/>
    <mergeCell ref="D62:D64"/>
    <mergeCell ref="D65:D67"/>
    <mergeCell ref="D68:D70"/>
    <mergeCell ref="D71:D73"/>
    <mergeCell ref="D74:D76"/>
    <mergeCell ref="D59:D61"/>
    <mergeCell ref="B7:F7"/>
    <mergeCell ref="D53:D55"/>
    <mergeCell ref="D8:D10"/>
    <mergeCell ref="D11:D13"/>
    <mergeCell ref="D14:D16"/>
    <mergeCell ref="D17:D19"/>
    <mergeCell ref="D20:D22"/>
    <mergeCell ref="D35:D37"/>
    <mergeCell ref="D38:D40"/>
    <mergeCell ref="D41:D43"/>
    <mergeCell ref="D44:D46"/>
    <mergeCell ref="B50:B52"/>
    <mergeCell ref="B53:B55"/>
    <mergeCell ref="B56:B58"/>
    <mergeCell ref="B59:B61"/>
    <mergeCell ref="AK5:AO5"/>
    <mergeCell ref="D50:D52"/>
    <mergeCell ref="D56:D58"/>
    <mergeCell ref="AA5:AE5"/>
    <mergeCell ref="D47:D49"/>
    <mergeCell ref="AP5:AT5"/>
    <mergeCell ref="AU5:AY5"/>
    <mergeCell ref="J7:K7"/>
    <mergeCell ref="O7:P7"/>
    <mergeCell ref="T7:U7"/>
    <mergeCell ref="Y7:Z7"/>
    <mergeCell ref="AD7:AE7"/>
    <mergeCell ref="AI7:AJ7"/>
    <mergeCell ref="AN7:AO7"/>
    <mergeCell ref="AS7:AT7"/>
    <mergeCell ref="AX7:AY7"/>
    <mergeCell ref="G5:K5"/>
    <mergeCell ref="L5:P5"/>
    <mergeCell ref="Q5:U5"/>
    <mergeCell ref="V5:Z5"/>
    <mergeCell ref="AF5:AJ5"/>
  </mergeCells>
  <dataValidations count="4">
    <dataValidation type="decimal" allowBlank="1" showInputMessage="1" showErrorMessage="1" error="Value must be a positive number" sqref="Q106:Q118 L106:L118 V106:V118 AK106:AK118 L9:L10 G9:G10 V9:V10 Q9:Q10 AK9:AK10 AF9:AF10 AF13 AK13 AK57:AK58 AF57:AF58 L85:L86 AK19 L19 G19 AF28:AF29 G28:G29 AK28:AK29 V28:V29 L28:L29 AF31:AF32 G31:G32 AK31:AK32 V31:V32 L31:L32 Q34:Q35 AF34:AF35 G34:G35 AK34:AK35 V34:V35 AF43:AF44 AK40:AK41 V40:V41 L40:L41 Q40:Q41 AF40:AF41 G43:G44 AK43:AK44 V43:V44 L43:L44 AF46:AF47 G46:G47 AK46:AK47 V46:V47 L46:L47 AF55 V52:V53 L52:L53 Q52:Q53 AF52:AF53 G52:G53 AK55 Q70:Q71 G15:G16 V15:V16 Q15:Q16 AK15:AK16 AF15:AF16 AK52:AK53 AF67:AF68 G67:G68 AK67:AK68 V67:V68 L67:L68 AF70:AF71 G70:G71 AK70:AK71 V70:V71 Q73:Q74 AF73:AF74 G73:G74 AK73:AK74 V73:V74 L76:L77 Q76:Q77 AF76:AF77 G76:G77 AK76:AK77 AF88 Q85:Q86 AF85:AF86 G85:G86 AK85:AK86 AK88 Q67:Q68 V85:V86 G91 V91 AK97 L97 L13 G13 V13 Q13 L57:L58 G57:G58 V57:V58 V19 AF22 AK22 L22 G22 V22 AK61 L61 G61 V61 AF100 G97 G94 V94 Q94 V97 Q97 AK100 L100 G100 V100 G106:G118 Q43:Q44 L70:L71 L49 AF106:AF118 L79 Q19 AF19 Q22 Q25 AF25 AK25 L25 G25 V25 Q28:Q29 G40:G41 Q61 AF61 Q64 AF64 AK64 L64 G64 V64 Q82 AF82 AK82 L82 G82 V82 Q91 AF91 AK91 L91 AF94 AK94 L94 AF97 Q100 Q103 AF103 AK103 L103 G103 V103 L88 G88 V88 Q88 G79 V79 Q79 AF79 AK79 V76:V77 L73:L74 L55 G55 V55 Q55 G49 V49 Q49 AF49 AK49 Q46:Q47 L37 G37 V37 Q37 AF37 AK37 L34:L35 Q31:Q32 L15:L16 AA8:AA118 AP8:AP118 AU8:AU118 Q57:Q58" xr:uid="{00000000-0002-0000-0700-000000000000}">
      <formula1>0</formula1>
      <formula2>4000000000</formula2>
    </dataValidation>
    <dataValidation type="decimal" allowBlank="1" showInputMessage="1" showErrorMessage="1" error="Value must be a positive number smaller than 9999999" sqref="V36 V42 V14 V8 V30 V33 V38:V39 V17:V18 V26:V27 V20:V21 V11:V12 V23:V24" xr:uid="{00000000-0002-0000-0700-000001000000}">
      <formula1>0</formula1>
      <formula2>9999999</formula2>
    </dataValidation>
    <dataValidation type="decimal" allowBlank="1" showInputMessage="1" showErrorMessage="1" error="Value must be a positive number smaller than 9999999" sqref="G8 G11 G12 G14 G17 G18 G20 G21 G23 G24 G26 G27 G30 G33 G36 G38 G39 G42 G45 G48 G50 G51 G54 G56 G59 G60 G62 G63 G65 G66 G69 G72 G75 G78 G80 G81 G83 G84 G87 G89 G90 G92 G93 G95 G96 G98 G99 G101 G102 G104 G105 Q8 Q11 Q12 Q14 Q17 Q18 Q20 Q21 Q23 Q24 Q26 Q27 Q30 Q33 Q36 Q38 Q39 Q42 Q45 Q48 Q50 Q51 Q54 Q56 Q59 Q60 Q62 Q63 Q65 Q66 Q69 Q72 Q75 Q78 Q80 Q81 Q83 Q84 Q87 Q89 Q90 Q92 Q93 Q95 Q96 Q98 Q99 Q101 Q102 Q104 Q105 V45 V48 V51 V50 V54 V56 V59 V60 V62 V63 V65 V66 V69 V72 V75 V78 V80 V81 V83 V84 V87 V89 V90 V92 V93 V95 V96 V98 V99 V101 V102 V104 V105 AF8 AF11 AF12 AF14 AF17 AF18 AF20 AF21 AF23 AF24 AF24 AF26 AF27 AF30 AF33 AF36 AF38 AF39 AF42 AF45 AF48 AF51 AF50 AF54 AF56 AF59 AF60 AF63 AF62 AF65 AF66 AF69 AF72 AF75 AF78 AF81 AF80 AF83 AF84 AF87 AF89 AF90 AF92 AF93 AF95 AF96 AF98 AF99 AF102 AF101 AF104 AF105 AK105 AK104 AK102 AK101 AK99 AK98 AK96 AK95 AK93 AK92 AK90 AK89 AK87 AK84 AK83 AK81 AK80 AK78 AK75 AK72 AK69 AK66 AK65 AK63 AK62 AK60 AK59 AK56 AK54 AK51 AK50 AK48 AK45 AK42 AK39 AK38 AK36 AK33 AK30 AK27 AK26 AK24 AK23 AK21 AK20 AK18 AK17 AK14 AK12 AK11 AK8" xr:uid="{00000000-0002-0000-0700-000002000000}">
      <formula1>0</formula1>
      <formula2>999999999999999</formula2>
    </dataValidation>
    <dataValidation type="decimal" allowBlank="1" showInputMessage="1" showErrorMessage="1" sqref="L8 L11 L12 L14 L17 L18 L20 L21 L23 L24 L26 L27 L30 L33 L36 L38 L39 L42 L45 L48 L50 L51 L54 L56 L59 L60 L62 L63 L65 L66 L69 L72 L75 L78 L80 L81 L83 L84 L87 L89 L90 L92 L93 P18 L95 L96 L98 L99 L101 L102 L104 L105" xr:uid="{00000000-0002-0000-0700-000003000000}">
      <formula1>0</formula1>
      <formula2>999999999999999</formula2>
    </dataValidation>
  </dataValidations>
  <pageMargins left="0.70866141732283472" right="0.70866141732283472" top="0.74803149606299213" bottom="0.74803149606299213" header="0.31496062992125984" footer="0.31496062992125984"/>
  <pageSetup paperSize="9" scale="20" orientation="portrait" r:id="rId1"/>
  <headerFooter>
    <oddFooter>&amp;L&amp;F&amp;CPage &amp;P of &amp;N &amp;R&amp;A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formulas">
              <controlPr defaultSize="0" print="0" autoFill="0" autoPict="0" macro="[0]!'SwitchLocksInCells &quot;formulas&quot;'" altText="Lock formulas">
                <anchor moveWithCells="1" sizeWithCells="1">
                  <from>
                    <xdr:col>5</xdr:col>
                    <xdr:colOff>247650</xdr:colOff>
                    <xdr:row>3</xdr:row>
                    <xdr:rowOff>107950</xdr:rowOff>
                  </from>
                  <to>
                    <xdr:col>5</xdr:col>
                    <xdr:colOff>946150</xdr:colOff>
                    <xdr:row>4</xdr:row>
                    <xdr:rowOff>260350</xdr:rowOff>
                  </to>
                </anchor>
              </controlPr>
            </control>
          </mc:Choice>
        </mc:AlternateContent>
        <mc:AlternateContent xmlns:mc="http://schemas.openxmlformats.org/markup-compatibility/2006">
          <mc:Choice Requires="x14">
            <control shapeId="6147" r:id="rId5" name="formulas">
              <controlPr defaultSize="0" print="0" autoFill="0" autoPict="0" macro="[0]!MainBody" altText="Lock formulas">
                <anchor moveWithCells="1" sizeWithCells="1">
                  <from>
                    <xdr:col>3</xdr:col>
                    <xdr:colOff>812800</xdr:colOff>
                    <xdr:row>3</xdr:row>
                    <xdr:rowOff>57150</xdr:rowOff>
                  </from>
                  <to>
                    <xdr:col>3</xdr:col>
                    <xdr:colOff>1733550</xdr:colOff>
                    <xdr:row>4</xdr:row>
                    <xdr:rowOff>260350</xdr:rowOff>
                  </to>
                </anchor>
              </controlPr>
            </control>
          </mc:Choice>
        </mc:AlternateContent>
        <mc:AlternateContent xmlns:mc="http://schemas.openxmlformats.org/markup-compatibility/2006">
          <mc:Choice Requires="x14">
            <control shapeId="6148" r:id="rId6" name="formulas">
              <controlPr defaultSize="0" print="0" autoFill="0" autoPict="0" macro="[0]!RestoreColours" altText="Lock formulas">
                <anchor moveWithCells="1" sizeWithCells="1">
                  <from>
                    <xdr:col>3</xdr:col>
                    <xdr:colOff>1879600</xdr:colOff>
                    <xdr:row>3</xdr:row>
                    <xdr:rowOff>57150</xdr:rowOff>
                  </from>
                  <to>
                    <xdr:col>3</xdr:col>
                    <xdr:colOff>2800350</xdr:colOff>
                    <xdr:row>4</xdr:row>
                    <xdr:rowOff>260350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700-000004000000}">
          <x14:formula1>
            <xm:f>'Footnotes list'!$D$9:$D$58</xm:f>
          </x14:formula1>
          <xm:sqref>J8 AN8 AI8 T8 O8 O54:O56 Y8 AD8 AS8 J54:J56 AD54:AD56 Y54:Y56 AN54:AN56 Y33:Y34 O33:O34 T54:T56 J33:J34 AD33:AD34 AI54:AI56 AS54:AS56 AN33:AN34 AN42:AN43 Y42:Y43 O42:O43 T33:T34 J42:J43 AD42:AD43 AI33:AI34 AD87:AD118 AN87:AN118 AI42:AI43 T42:T43 AI87:AI118 O87:O118 Y87:Y118 AD78:AD85 AS33:AS34 AS42:AS43 AN78:AN85 Y78:Y85 O78:O85 T87:T118 J87:J118 AD45:AD46 AI78:AI85 AI45:AI46 J78:J85 AN45:AN46 Y45:Y46 O45:O46 T78:T85 J45:J46 AD69:AD70 AI69:AI70 AS87:AS118 AS78:AS85 AN69:AN70 Y69:Y70 O69:O70 T45:T46 J69:J70 AD36:AD40 AI36:AI40 T69:T70 AI10:AI14 J36:J40 Y36:Y40 AS45:AS46 AN36:AN40 AS69:AS70 O36:O40 T36:T40 AS36:AS40 AN10:AN14 Y10:Y14 T10:T14 AD10:AD14 AI48:AI52 J10:J14 Y48:Y52 AS10:AS14 AN48:AN52 O10:O14 O48:O52 AD48:AD52 AI30:AI31 J48:J52 Y30:Y31 AS48:AS52 AN30:AN31 T48:T52 O30:O31 AS30:AS31 AS72:AS73 J30:J31 AN72:AN73 Y72:Y73 O72:O73 T30:T31 J72:J73 AD30:AD31 AI72:AI73 AS75:AS76 AN75:AN76 Y75:Y76 O75:O76 T72:T73 J75:J76 AD72:AD73 AI75:AI76 AS16:AS28 J16:J28 AI16:AI28 AD75:AD76 T75:T76 O16:O28 Y16:Y28 AN16:AN28 AD16:AD28 AN58:AN67 Y58:Y67 O58:O67 T16:T28 AD58:AD67 AI58:AI67 AS58:AS67 J58:J67 T58:T67 AX8 AX54:AX56 AX33:AX34 AX42:AX43 AX87:AX118 AX78:AX85 AX45:AX46 AX69:AX70 AX36:AX40 AX10:AX14 AX48:AX52 AX30:AX31 AX72:AX73 AX75:AX76 AX16:AX28 AX58:AX67</xm:sqref>
        </x14:dataValidation>
        <x14:dataValidation type="list" allowBlank="1" showInputMessage="1" showErrorMessage="1" xr:uid="{00000000-0002-0000-0700-000005000000}">
          <x14:formula1>
            <xm:f>Lists!$G$2:$G$3</xm:f>
          </x14:formula1>
          <xm:sqref>I8 AM8 AH8 S8 N8 N54:N56 X8 AC8 AR8 I54:I56 AC54:AC56 X54:X56 AM54:AM56 X33:X34 N33:N34 S54:S56 I33:I34 AC33:AC34 AH54:AH56 AR54:AR56 AM33:AM34 AM42:AM43 X42:X43 N42:N43 S33:S34 I42:I43 AC42:AC43 AH33:AH34 AC87:AC118 AM87:AM118 AH42:AH43 S42:S43 AH87:AH118 N87:N118 X87:X118 AC78:AC85 AR33:AR34 AR42:AR43 AM78:AM85 X78:X85 N78:N85 S87:S118 I87:I118 AC45:AC46 AH78:AH85 AH45:AH46 I78:I85 AM45:AM46 X45:X46 N45:N46 S78:S85 I45:I46 AC69:AC70 AH69:AH70 AR87:AR118 AR78:AR85 AM69:AM70 X69:X70 N69:N70 S45:S46 I69:I70 AC36:AC40 AH36:AH40 S69:S70 AH10:AH14 I36:I40 X36:X40 AR45:AR46 AM36:AM40 AR69:AR70 N36:N40 S36:S40 AR36:AR40 AM10:AM14 X10:X14 S10:S14 AC10:AC14 AH48:AH52 I10:I14 X48:X52 AR10:AR14 AM48:AM52 N10:N14 N48:N52 AC48:AC52 AH30:AH31 I48:I52 X30:X31 AR48:AR52 AM30:AM31 S48:S52 N30:N31 AR30:AR31 AR72:AR73 I30:I31 AM72:AM73 X72:X73 N72:N73 S30:S31 I72:I73 AC30:AC31 AH72:AH73 AR75:AR76 AM75:AM76 X75:X76 N75:N76 S72:S73 I75:I76 AC72:AC73 AH75:AH76 AR16:AR28 I16:I28 AH16:AH28 AC75:AC76 S75:S76 N16:N28 X16:X28 AM16:AM28 AC16:AC28 AM58:AM67 X58:X67 N58:N67 S16:S28 AC58:AC67 AH58:AH67 AR58:AR67 I58:I67 S58:S67 AW8 AW54:AW56 AW33:AW34 AW42:AW43 AW87:AW118 AW78:AW85 AW45:AW46 AW69:AW70 AW36:AW40 AW10:AW14 AW48:AW52 AW30:AW31 AW72:AW73 AW75:AW76 AW16:AW28 AW58:AW67</xm:sqref>
        </x14:dataValidation>
        <x14:dataValidation type="list" allowBlank="1" showInputMessage="1" showErrorMessage="1" xr:uid="{00000000-0002-0000-0700-000006000000}">
          <x14:formula1>
            <xm:f>Lists!$D$2:$D$8</xm:f>
          </x14:formula1>
          <xm:sqref>H8 AL8 AG8 R8 M8 M54:M56 W8 AB8 AQ8 H54:H56 AB54:AB56 W54:W56 AL54:AL56 W33:W34 M33:M34 R54:R56 H33:H34 AB33:AB34 AG54:AG56 AQ54:AQ56 AL33:AL34 AL42:AL43 W42:W43 M42:M43 R33:R34 H42:H43 AB42:AB43 AG33:AG34 AB87:AB118 AL87:AL118 AG42:AG43 R42:R43 AG87:AG118 M87:M118 W87:W118 AB78:AB85 AQ33:AQ34 AQ42:AQ43 AL78:AL85 W78:W85 M78:M85 R87:R118 H87:H118 AB45:AB46 AG78:AG85 AG45:AG46 H78:H85 AL45:AL46 W45:W46 M45:M46 R78:R85 H45:H46 AB69:AB70 AG69:AG70 AQ87:AQ118 AQ78:AQ85 AL69:AL70 W69:W70 M69:M70 R45:R46 H69:H70 AB36:AB40 AG36:AG40 R69:R70 AG10:AG14 H36:H40 W36:W40 AQ45:AQ46 AL36:AL40 AQ69:AQ70 M36:M40 R36:R40 AQ36:AQ40 AL10:AL14 W10:W14 R10:R14 AB10:AB14 AG48:AG52 H10:H14 W48:W52 AQ10:AQ14 AL48:AL52 M10:M14 M48:M52 AB48:AB52 AG30:AG31 H48:H52 W30:W31 AQ48:AQ52 AL30:AL31 R48:R52 M30:M31 AQ30:AQ31 AQ72:AQ73 H30:H31 AL72:AL73 W72:W73 M72:M73 R30:R31 H72:H73 AB30:AB31 AG72:AG73 AQ75:AQ76 AL75:AL76 W75:W76 M75:M76 R72:R73 H75:H76 AB72:AB73 AG75:AG76 AQ16:AQ28 H16:H28 AG16:AG28 AB75:AB76 R75:R76 M16:M28 W16:W28 AL16:AL28 AB16:AB28 AL58:AL67 W58:W67 M58:M67 R16:R28 AB58:AB67 AG58:AG67 AQ58:AQ67 H58:H67 R58:R67 AV8 AV54:AV56 AV33:AV34 AV42:AV43 AV87:AV118 AV78:AV85 AV45:AV46 AV69:AV70 AV36:AV40 AV10:AV14 AV48:AV52 AV30:AV31 AV72:AV73 AV75:AV76 AV16:AV28 AV58:AV67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rgb="FF266865"/>
    <pageSetUpPr fitToPage="1"/>
  </sheetPr>
  <dimension ref="A1:G771"/>
  <sheetViews>
    <sheetView workbookViewId="0">
      <selection activeCell="A2" sqref="A2"/>
    </sheetView>
  </sheetViews>
  <sheetFormatPr defaultRowHeight="14.5" x14ac:dyDescent="0.35"/>
  <cols>
    <col min="1" max="1" width="16.1796875" style="25" customWidth="1"/>
    <col min="2" max="2" width="20.54296875" customWidth="1"/>
    <col min="3" max="3" width="8.54296875" customWidth="1"/>
    <col min="4" max="4" width="9.54296875" customWidth="1"/>
    <col min="5" max="5" width="49.26953125" customWidth="1"/>
    <col min="6" max="6" width="10.81640625" customWidth="1"/>
    <col min="7" max="7" width="7.26953125" hidden="1" customWidth="1"/>
  </cols>
  <sheetData>
    <row r="1" spans="1:7" x14ac:dyDescent="0.35">
      <c r="A1" s="149" t="s">
        <v>584</v>
      </c>
      <c r="B1" s="149" t="s">
        <v>585</v>
      </c>
      <c r="C1" s="149" t="s">
        <v>522</v>
      </c>
      <c r="D1" s="149" t="s">
        <v>586</v>
      </c>
      <c r="E1" s="149" t="s">
        <v>3</v>
      </c>
      <c r="F1" s="149" t="s">
        <v>304</v>
      </c>
      <c r="G1" s="149" t="s">
        <v>587</v>
      </c>
    </row>
    <row r="2" spans="1:7" x14ac:dyDescent="0.35">
      <c r="A2" s="402"/>
    </row>
    <row r="3" spans="1:7" x14ac:dyDescent="0.35">
      <c r="A3" s="402"/>
    </row>
    <row r="4" spans="1:7" x14ac:dyDescent="0.35">
      <c r="A4" s="402"/>
    </row>
    <row r="5" spans="1:7" x14ac:dyDescent="0.35">
      <c r="A5" s="402"/>
    </row>
    <row r="6" spans="1:7" x14ac:dyDescent="0.35">
      <c r="A6" s="402"/>
    </row>
    <row r="7" spans="1:7" x14ac:dyDescent="0.35">
      <c r="A7" s="402"/>
    </row>
    <row r="8" spans="1:7" x14ac:dyDescent="0.35">
      <c r="A8" s="402"/>
    </row>
    <row r="9" spans="1:7" x14ac:dyDescent="0.35">
      <c r="A9" s="402"/>
    </row>
    <row r="10" spans="1:7" x14ac:dyDescent="0.35">
      <c r="A10" s="402"/>
    </row>
    <row r="11" spans="1:7" x14ac:dyDescent="0.35">
      <c r="A11" s="402"/>
    </row>
    <row r="12" spans="1:7" x14ac:dyDescent="0.35">
      <c r="A12" s="402"/>
    </row>
    <row r="13" spans="1:7" x14ac:dyDescent="0.35">
      <c r="A13" s="402"/>
    </row>
    <row r="14" spans="1:7" x14ac:dyDescent="0.35">
      <c r="A14" s="402"/>
    </row>
    <row r="15" spans="1:7" x14ac:dyDescent="0.35">
      <c r="A15" s="402"/>
    </row>
    <row r="16" spans="1:7" x14ac:dyDescent="0.35">
      <c r="A16" s="402"/>
    </row>
    <row r="17" spans="1:1" x14ac:dyDescent="0.35">
      <c r="A17" s="402"/>
    </row>
    <row r="18" spans="1:1" x14ac:dyDescent="0.35">
      <c r="A18" s="402"/>
    </row>
    <row r="19" spans="1:1" x14ac:dyDescent="0.35">
      <c r="A19" s="402"/>
    </row>
    <row r="20" spans="1:1" x14ac:dyDescent="0.35">
      <c r="A20" s="402"/>
    </row>
    <row r="21" spans="1:1" x14ac:dyDescent="0.35">
      <c r="A21" s="402"/>
    </row>
    <row r="22" spans="1:1" x14ac:dyDescent="0.35">
      <c r="A22" s="402"/>
    </row>
    <row r="23" spans="1:1" x14ac:dyDescent="0.35">
      <c r="A23" s="402"/>
    </row>
    <row r="24" spans="1:1" x14ac:dyDescent="0.35">
      <c r="A24" s="402"/>
    </row>
    <row r="25" spans="1:1" x14ac:dyDescent="0.35">
      <c r="A25" s="402"/>
    </row>
    <row r="26" spans="1:1" x14ac:dyDescent="0.35">
      <c r="A26" s="402"/>
    </row>
    <row r="27" spans="1:1" x14ac:dyDescent="0.35">
      <c r="A27" s="402"/>
    </row>
    <row r="28" spans="1:1" x14ac:dyDescent="0.35">
      <c r="A28" s="402"/>
    </row>
    <row r="29" spans="1:1" x14ac:dyDescent="0.35">
      <c r="A29" s="402"/>
    </row>
    <row r="30" spans="1:1" x14ac:dyDescent="0.35">
      <c r="A30" s="402"/>
    </row>
    <row r="31" spans="1:1" x14ac:dyDescent="0.35">
      <c r="A31" s="402"/>
    </row>
    <row r="32" spans="1:1" x14ac:dyDescent="0.35">
      <c r="A32" s="402"/>
    </row>
    <row r="33" spans="1:1" x14ac:dyDescent="0.35">
      <c r="A33" s="402"/>
    </row>
    <row r="34" spans="1:1" x14ac:dyDescent="0.35">
      <c r="A34" s="402"/>
    </row>
    <row r="35" spans="1:1" x14ac:dyDescent="0.35">
      <c r="A35" s="402"/>
    </row>
    <row r="36" spans="1:1" x14ac:dyDescent="0.35">
      <c r="A36" s="402"/>
    </row>
    <row r="37" spans="1:1" x14ac:dyDescent="0.35">
      <c r="A37" s="402"/>
    </row>
    <row r="38" spans="1:1" x14ac:dyDescent="0.35">
      <c r="A38" s="402"/>
    </row>
    <row r="39" spans="1:1" x14ac:dyDescent="0.35">
      <c r="A39" s="402"/>
    </row>
    <row r="40" spans="1:1" x14ac:dyDescent="0.35">
      <c r="A40" s="402"/>
    </row>
    <row r="41" spans="1:1" x14ac:dyDescent="0.35">
      <c r="A41" s="402"/>
    </row>
    <row r="42" spans="1:1" x14ac:dyDescent="0.35">
      <c r="A42" s="402"/>
    </row>
    <row r="43" spans="1:1" x14ac:dyDescent="0.35">
      <c r="A43" s="402"/>
    </row>
    <row r="44" spans="1:1" x14ac:dyDescent="0.35">
      <c r="A44" s="402"/>
    </row>
    <row r="45" spans="1:1" x14ac:dyDescent="0.35">
      <c r="A45" s="402"/>
    </row>
    <row r="46" spans="1:1" x14ac:dyDescent="0.35">
      <c r="A46" s="402"/>
    </row>
    <row r="47" spans="1:1" x14ac:dyDescent="0.35">
      <c r="A47" s="402"/>
    </row>
    <row r="48" spans="1:1" x14ac:dyDescent="0.35">
      <c r="A48" s="402"/>
    </row>
    <row r="49" spans="1:1" x14ac:dyDescent="0.35">
      <c r="A49" s="402"/>
    </row>
    <row r="50" spans="1:1" x14ac:dyDescent="0.35">
      <c r="A50" s="402"/>
    </row>
    <row r="51" spans="1:1" x14ac:dyDescent="0.35">
      <c r="A51" s="402"/>
    </row>
    <row r="52" spans="1:1" x14ac:dyDescent="0.35">
      <c r="A52" s="402"/>
    </row>
    <row r="53" spans="1:1" x14ac:dyDescent="0.35">
      <c r="A53" s="402"/>
    </row>
    <row r="54" spans="1:1" x14ac:dyDescent="0.35">
      <c r="A54" s="402"/>
    </row>
    <row r="55" spans="1:1" x14ac:dyDescent="0.35">
      <c r="A55" s="402"/>
    </row>
    <row r="56" spans="1:1" x14ac:dyDescent="0.35">
      <c r="A56" s="402"/>
    </row>
    <row r="57" spans="1:1" x14ac:dyDescent="0.35">
      <c r="A57" s="402"/>
    </row>
    <row r="58" spans="1:1" x14ac:dyDescent="0.35">
      <c r="A58" s="402"/>
    </row>
    <row r="59" spans="1:1" x14ac:dyDescent="0.35">
      <c r="A59" s="402"/>
    </row>
    <row r="60" spans="1:1" x14ac:dyDescent="0.35">
      <c r="A60" s="402"/>
    </row>
    <row r="61" spans="1:1" x14ac:dyDescent="0.35">
      <c r="A61" s="402"/>
    </row>
    <row r="62" spans="1:1" x14ac:dyDescent="0.35">
      <c r="A62" s="402"/>
    </row>
    <row r="63" spans="1:1" x14ac:dyDescent="0.35">
      <c r="A63" s="402"/>
    </row>
    <row r="64" spans="1:1" x14ac:dyDescent="0.35">
      <c r="A64" s="402"/>
    </row>
    <row r="65" spans="1:1" x14ac:dyDescent="0.35">
      <c r="A65" s="402"/>
    </row>
    <row r="66" spans="1:1" x14ac:dyDescent="0.35">
      <c r="A66" s="402"/>
    </row>
    <row r="67" spans="1:1" x14ac:dyDescent="0.35">
      <c r="A67" s="402"/>
    </row>
    <row r="68" spans="1:1" x14ac:dyDescent="0.35">
      <c r="A68" s="402"/>
    </row>
    <row r="69" spans="1:1" x14ac:dyDescent="0.35">
      <c r="A69" s="402"/>
    </row>
    <row r="70" spans="1:1" x14ac:dyDescent="0.35">
      <c r="A70" s="402"/>
    </row>
    <row r="71" spans="1:1" x14ac:dyDescent="0.35">
      <c r="A71" s="402"/>
    </row>
    <row r="72" spans="1:1" x14ac:dyDescent="0.35">
      <c r="A72" s="402"/>
    </row>
    <row r="73" spans="1:1" x14ac:dyDescent="0.35">
      <c r="A73" s="402"/>
    </row>
    <row r="74" spans="1:1" x14ac:dyDescent="0.35">
      <c r="A74" s="402"/>
    </row>
    <row r="75" spans="1:1" x14ac:dyDescent="0.35">
      <c r="A75" s="402"/>
    </row>
    <row r="76" spans="1:1" x14ac:dyDescent="0.35">
      <c r="A76" s="402"/>
    </row>
    <row r="77" spans="1:1" x14ac:dyDescent="0.35">
      <c r="A77" s="402"/>
    </row>
    <row r="78" spans="1:1" x14ac:dyDescent="0.35">
      <c r="A78" s="402"/>
    </row>
    <row r="79" spans="1:1" x14ac:dyDescent="0.35">
      <c r="A79" s="402"/>
    </row>
    <row r="80" spans="1:1" x14ac:dyDescent="0.35">
      <c r="A80" s="402"/>
    </row>
    <row r="81" spans="1:1" x14ac:dyDescent="0.35">
      <c r="A81" s="402"/>
    </row>
    <row r="82" spans="1:1" x14ac:dyDescent="0.35">
      <c r="A82" s="402"/>
    </row>
    <row r="83" spans="1:1" x14ac:dyDescent="0.35">
      <c r="A83" s="402"/>
    </row>
    <row r="84" spans="1:1" x14ac:dyDescent="0.35">
      <c r="A84" s="402"/>
    </row>
    <row r="85" spans="1:1" x14ac:dyDescent="0.35">
      <c r="A85" s="402"/>
    </row>
    <row r="86" spans="1:1" x14ac:dyDescent="0.35">
      <c r="A86" s="402"/>
    </row>
    <row r="87" spans="1:1" x14ac:dyDescent="0.35">
      <c r="A87" s="402"/>
    </row>
    <row r="88" spans="1:1" x14ac:dyDescent="0.35">
      <c r="A88" s="402"/>
    </row>
    <row r="89" spans="1:1" x14ac:dyDescent="0.35">
      <c r="A89" s="402"/>
    </row>
    <row r="90" spans="1:1" x14ac:dyDescent="0.35">
      <c r="A90" s="402"/>
    </row>
    <row r="91" spans="1:1" x14ac:dyDescent="0.35">
      <c r="A91" s="402"/>
    </row>
    <row r="92" spans="1:1" x14ac:dyDescent="0.35">
      <c r="A92" s="402"/>
    </row>
    <row r="93" spans="1:1" x14ac:dyDescent="0.35">
      <c r="A93" s="402"/>
    </row>
    <row r="94" spans="1:1" x14ac:dyDescent="0.35">
      <c r="A94" s="402"/>
    </row>
    <row r="95" spans="1:1" x14ac:dyDescent="0.35">
      <c r="A95" s="402"/>
    </row>
    <row r="96" spans="1:1" x14ac:dyDescent="0.35">
      <c r="A96" s="402"/>
    </row>
    <row r="97" spans="1:1" x14ac:dyDescent="0.35">
      <c r="A97" s="402"/>
    </row>
    <row r="98" spans="1:1" x14ac:dyDescent="0.35">
      <c r="A98" s="402"/>
    </row>
    <row r="99" spans="1:1" x14ac:dyDescent="0.35">
      <c r="A99" s="402"/>
    </row>
    <row r="100" spans="1:1" x14ac:dyDescent="0.35">
      <c r="A100" s="402"/>
    </row>
    <row r="101" spans="1:1" x14ac:dyDescent="0.35">
      <c r="A101" s="402"/>
    </row>
    <row r="102" spans="1:1" x14ac:dyDescent="0.35">
      <c r="A102" s="402"/>
    </row>
    <row r="103" spans="1:1" x14ac:dyDescent="0.35">
      <c r="A103" s="402"/>
    </row>
    <row r="104" spans="1:1" x14ac:dyDescent="0.35">
      <c r="A104" s="402"/>
    </row>
    <row r="105" spans="1:1" x14ac:dyDescent="0.35">
      <c r="A105" s="402"/>
    </row>
    <row r="106" spans="1:1" x14ac:dyDescent="0.35">
      <c r="A106" s="402"/>
    </row>
    <row r="107" spans="1:1" x14ac:dyDescent="0.35">
      <c r="A107" s="402"/>
    </row>
    <row r="108" spans="1:1" x14ac:dyDescent="0.35">
      <c r="A108" s="402"/>
    </row>
    <row r="109" spans="1:1" x14ac:dyDescent="0.35">
      <c r="A109" s="402"/>
    </row>
    <row r="110" spans="1:1" x14ac:dyDescent="0.35">
      <c r="A110" s="402"/>
    </row>
    <row r="111" spans="1:1" x14ac:dyDescent="0.35">
      <c r="A111" s="402"/>
    </row>
    <row r="112" spans="1:1" x14ac:dyDescent="0.35">
      <c r="A112" s="402"/>
    </row>
    <row r="113" spans="1:1" x14ac:dyDescent="0.35">
      <c r="A113" s="402"/>
    </row>
    <row r="114" spans="1:1" x14ac:dyDescent="0.35">
      <c r="A114" s="402"/>
    </row>
    <row r="115" spans="1:1" x14ac:dyDescent="0.35">
      <c r="A115" s="402"/>
    </row>
    <row r="116" spans="1:1" x14ac:dyDescent="0.35">
      <c r="A116" s="402"/>
    </row>
    <row r="117" spans="1:1" x14ac:dyDescent="0.35">
      <c r="A117" s="402"/>
    </row>
    <row r="118" spans="1:1" x14ac:dyDescent="0.35">
      <c r="A118" s="402"/>
    </row>
    <row r="119" spans="1:1" x14ac:dyDescent="0.35">
      <c r="A119" s="402"/>
    </row>
    <row r="120" spans="1:1" x14ac:dyDescent="0.35">
      <c r="A120" s="402"/>
    </row>
    <row r="121" spans="1:1" x14ac:dyDescent="0.35">
      <c r="A121" s="402"/>
    </row>
    <row r="122" spans="1:1" x14ac:dyDescent="0.35">
      <c r="A122" s="402"/>
    </row>
    <row r="123" spans="1:1" x14ac:dyDescent="0.35">
      <c r="A123" s="402"/>
    </row>
    <row r="124" spans="1:1" x14ac:dyDescent="0.35">
      <c r="A124" s="402"/>
    </row>
    <row r="125" spans="1:1" x14ac:dyDescent="0.35">
      <c r="A125" s="402"/>
    </row>
    <row r="126" spans="1:1" x14ac:dyDescent="0.35">
      <c r="A126" s="402"/>
    </row>
    <row r="127" spans="1:1" x14ac:dyDescent="0.35">
      <c r="A127" s="402"/>
    </row>
    <row r="128" spans="1:1" x14ac:dyDescent="0.35">
      <c r="A128" s="402"/>
    </row>
    <row r="129" spans="1:1" x14ac:dyDescent="0.35">
      <c r="A129" s="402"/>
    </row>
    <row r="130" spans="1:1" x14ac:dyDescent="0.35">
      <c r="A130" s="402"/>
    </row>
    <row r="131" spans="1:1" x14ac:dyDescent="0.35">
      <c r="A131" s="402"/>
    </row>
    <row r="132" spans="1:1" x14ac:dyDescent="0.35">
      <c r="A132" s="402"/>
    </row>
    <row r="133" spans="1:1" x14ac:dyDescent="0.35">
      <c r="A133" s="402"/>
    </row>
    <row r="134" spans="1:1" x14ac:dyDescent="0.35">
      <c r="A134" s="402"/>
    </row>
    <row r="135" spans="1:1" x14ac:dyDescent="0.35">
      <c r="A135" s="402"/>
    </row>
    <row r="136" spans="1:1" x14ac:dyDescent="0.35">
      <c r="A136" s="402"/>
    </row>
    <row r="137" spans="1:1" x14ac:dyDescent="0.35">
      <c r="A137" s="402"/>
    </row>
    <row r="138" spans="1:1" x14ac:dyDescent="0.35">
      <c r="A138" s="402"/>
    </row>
    <row r="139" spans="1:1" x14ac:dyDescent="0.35">
      <c r="A139" s="402"/>
    </row>
    <row r="140" spans="1:1" x14ac:dyDescent="0.35">
      <c r="A140" s="402"/>
    </row>
    <row r="141" spans="1:1" x14ac:dyDescent="0.35">
      <c r="A141" s="402"/>
    </row>
    <row r="142" spans="1:1" x14ac:dyDescent="0.35">
      <c r="A142" s="402"/>
    </row>
    <row r="143" spans="1:1" x14ac:dyDescent="0.35">
      <c r="A143" s="402"/>
    </row>
    <row r="144" spans="1:1" x14ac:dyDescent="0.35">
      <c r="A144" s="402"/>
    </row>
    <row r="145" spans="1:1" x14ac:dyDescent="0.35">
      <c r="A145" s="402"/>
    </row>
    <row r="146" spans="1:1" x14ac:dyDescent="0.35">
      <c r="A146" s="402"/>
    </row>
    <row r="147" spans="1:1" x14ac:dyDescent="0.35">
      <c r="A147" s="402"/>
    </row>
    <row r="148" spans="1:1" x14ac:dyDescent="0.35">
      <c r="A148" s="402"/>
    </row>
    <row r="149" spans="1:1" x14ac:dyDescent="0.35">
      <c r="A149" s="402"/>
    </row>
    <row r="150" spans="1:1" x14ac:dyDescent="0.35">
      <c r="A150" s="402"/>
    </row>
    <row r="151" spans="1:1" x14ac:dyDescent="0.35">
      <c r="A151" s="402"/>
    </row>
    <row r="152" spans="1:1" x14ac:dyDescent="0.35">
      <c r="A152" s="402"/>
    </row>
    <row r="153" spans="1:1" x14ac:dyDescent="0.35">
      <c r="A153" s="402"/>
    </row>
    <row r="154" spans="1:1" x14ac:dyDescent="0.35">
      <c r="A154" s="402"/>
    </row>
    <row r="155" spans="1:1" x14ac:dyDescent="0.35">
      <c r="A155" s="402"/>
    </row>
    <row r="156" spans="1:1" x14ac:dyDescent="0.35">
      <c r="A156" s="402"/>
    </row>
    <row r="157" spans="1:1" x14ac:dyDescent="0.35">
      <c r="A157" s="402"/>
    </row>
    <row r="158" spans="1:1" x14ac:dyDescent="0.35">
      <c r="A158" s="402"/>
    </row>
    <row r="159" spans="1:1" x14ac:dyDescent="0.35">
      <c r="A159" s="402"/>
    </row>
    <row r="160" spans="1:1" x14ac:dyDescent="0.35">
      <c r="A160" s="402"/>
    </row>
    <row r="161" spans="1:1" x14ac:dyDescent="0.35">
      <c r="A161" s="402"/>
    </row>
    <row r="162" spans="1:1" x14ac:dyDescent="0.35">
      <c r="A162" s="402"/>
    </row>
    <row r="163" spans="1:1" x14ac:dyDescent="0.35">
      <c r="A163" s="402"/>
    </row>
    <row r="164" spans="1:1" x14ac:dyDescent="0.35">
      <c r="A164" s="402"/>
    </row>
    <row r="165" spans="1:1" x14ac:dyDescent="0.35">
      <c r="A165" s="402"/>
    </row>
    <row r="166" spans="1:1" x14ac:dyDescent="0.35">
      <c r="A166" s="402"/>
    </row>
    <row r="167" spans="1:1" x14ac:dyDescent="0.35">
      <c r="A167" s="402"/>
    </row>
    <row r="168" spans="1:1" x14ac:dyDescent="0.35">
      <c r="A168" s="402"/>
    </row>
    <row r="169" spans="1:1" x14ac:dyDescent="0.35">
      <c r="A169" s="402"/>
    </row>
    <row r="170" spans="1:1" x14ac:dyDescent="0.35">
      <c r="A170" s="402"/>
    </row>
    <row r="171" spans="1:1" x14ac:dyDescent="0.35">
      <c r="A171" s="402"/>
    </row>
    <row r="172" spans="1:1" x14ac:dyDescent="0.35">
      <c r="A172" s="402"/>
    </row>
    <row r="173" spans="1:1" x14ac:dyDescent="0.35">
      <c r="A173" s="402"/>
    </row>
    <row r="174" spans="1:1" x14ac:dyDescent="0.35">
      <c r="A174" s="402"/>
    </row>
    <row r="175" spans="1:1" x14ac:dyDescent="0.35">
      <c r="A175" s="402"/>
    </row>
    <row r="176" spans="1:1" x14ac:dyDescent="0.35">
      <c r="A176" s="402"/>
    </row>
    <row r="177" spans="1:1" x14ac:dyDescent="0.35">
      <c r="A177" s="402"/>
    </row>
    <row r="178" spans="1:1" x14ac:dyDescent="0.35">
      <c r="A178" s="402"/>
    </row>
    <row r="179" spans="1:1" x14ac:dyDescent="0.35">
      <c r="A179" s="402"/>
    </row>
    <row r="180" spans="1:1" x14ac:dyDescent="0.35">
      <c r="A180" s="402"/>
    </row>
    <row r="181" spans="1:1" x14ac:dyDescent="0.35">
      <c r="A181" s="402"/>
    </row>
    <row r="182" spans="1:1" x14ac:dyDescent="0.35">
      <c r="A182" s="402"/>
    </row>
    <row r="183" spans="1:1" x14ac:dyDescent="0.35">
      <c r="A183" s="402"/>
    </row>
    <row r="184" spans="1:1" x14ac:dyDescent="0.35">
      <c r="A184" s="402"/>
    </row>
    <row r="185" spans="1:1" x14ac:dyDescent="0.35">
      <c r="A185" s="402"/>
    </row>
    <row r="186" spans="1:1" x14ac:dyDescent="0.35">
      <c r="A186" s="402"/>
    </row>
    <row r="187" spans="1:1" x14ac:dyDescent="0.35">
      <c r="A187" s="402"/>
    </row>
    <row r="188" spans="1:1" x14ac:dyDescent="0.35">
      <c r="A188" s="402"/>
    </row>
    <row r="189" spans="1:1" x14ac:dyDescent="0.35">
      <c r="A189" s="402"/>
    </row>
    <row r="190" spans="1:1" x14ac:dyDescent="0.35">
      <c r="A190" s="402"/>
    </row>
    <row r="191" spans="1:1" x14ac:dyDescent="0.35">
      <c r="A191" s="402"/>
    </row>
    <row r="192" spans="1:1" x14ac:dyDescent="0.35">
      <c r="A192" s="402"/>
    </row>
    <row r="193" spans="1:1" x14ac:dyDescent="0.35">
      <c r="A193" s="402"/>
    </row>
    <row r="194" spans="1:1" x14ac:dyDescent="0.35">
      <c r="A194" s="402"/>
    </row>
    <row r="195" spans="1:1" x14ac:dyDescent="0.35">
      <c r="A195" s="402"/>
    </row>
    <row r="196" spans="1:1" x14ac:dyDescent="0.35">
      <c r="A196" s="402"/>
    </row>
    <row r="197" spans="1:1" x14ac:dyDescent="0.35">
      <c r="A197" s="402"/>
    </row>
    <row r="198" spans="1:1" x14ac:dyDescent="0.35">
      <c r="A198" s="402"/>
    </row>
    <row r="199" spans="1:1" x14ac:dyDescent="0.35">
      <c r="A199" s="402"/>
    </row>
    <row r="200" spans="1:1" x14ac:dyDescent="0.35">
      <c r="A200" s="402"/>
    </row>
    <row r="201" spans="1:1" x14ac:dyDescent="0.35">
      <c r="A201" s="402"/>
    </row>
    <row r="202" spans="1:1" x14ac:dyDescent="0.35">
      <c r="A202" s="402"/>
    </row>
    <row r="203" spans="1:1" x14ac:dyDescent="0.35">
      <c r="A203" s="402"/>
    </row>
    <row r="204" spans="1:1" x14ac:dyDescent="0.35">
      <c r="A204" s="402"/>
    </row>
    <row r="205" spans="1:1" x14ac:dyDescent="0.35">
      <c r="A205" s="402"/>
    </row>
    <row r="206" spans="1:1" x14ac:dyDescent="0.35">
      <c r="A206" s="402"/>
    </row>
    <row r="207" spans="1:1" x14ac:dyDescent="0.35">
      <c r="A207" s="402"/>
    </row>
    <row r="208" spans="1:1" x14ac:dyDescent="0.35">
      <c r="A208" s="402"/>
    </row>
    <row r="209" spans="1:1" x14ac:dyDescent="0.35">
      <c r="A209" s="402"/>
    </row>
    <row r="210" spans="1:1" x14ac:dyDescent="0.35">
      <c r="A210" s="402"/>
    </row>
    <row r="211" spans="1:1" x14ac:dyDescent="0.35">
      <c r="A211" s="402"/>
    </row>
    <row r="212" spans="1:1" x14ac:dyDescent="0.35">
      <c r="A212" s="402"/>
    </row>
    <row r="213" spans="1:1" x14ac:dyDescent="0.35">
      <c r="A213" s="402"/>
    </row>
    <row r="214" spans="1:1" x14ac:dyDescent="0.35">
      <c r="A214" s="402"/>
    </row>
    <row r="215" spans="1:1" x14ac:dyDescent="0.35">
      <c r="A215" s="402"/>
    </row>
    <row r="216" spans="1:1" x14ac:dyDescent="0.35">
      <c r="A216" s="402"/>
    </row>
    <row r="217" spans="1:1" x14ac:dyDescent="0.35">
      <c r="A217" s="402"/>
    </row>
    <row r="218" spans="1:1" x14ac:dyDescent="0.35">
      <c r="A218" s="402"/>
    </row>
    <row r="219" spans="1:1" x14ac:dyDescent="0.35">
      <c r="A219" s="402"/>
    </row>
    <row r="220" spans="1:1" x14ac:dyDescent="0.35">
      <c r="A220" s="402"/>
    </row>
    <row r="221" spans="1:1" x14ac:dyDescent="0.35">
      <c r="A221" s="402"/>
    </row>
    <row r="222" spans="1:1" x14ac:dyDescent="0.35">
      <c r="A222" s="402"/>
    </row>
    <row r="223" spans="1:1" x14ac:dyDescent="0.35">
      <c r="A223" s="402"/>
    </row>
    <row r="224" spans="1:1" x14ac:dyDescent="0.35">
      <c r="A224" s="402"/>
    </row>
    <row r="225" spans="1:1" x14ac:dyDescent="0.35">
      <c r="A225" s="402"/>
    </row>
    <row r="226" spans="1:1" x14ac:dyDescent="0.35">
      <c r="A226" s="402"/>
    </row>
    <row r="227" spans="1:1" x14ac:dyDescent="0.35">
      <c r="A227" s="402"/>
    </row>
    <row r="228" spans="1:1" x14ac:dyDescent="0.35">
      <c r="A228" s="402"/>
    </row>
    <row r="229" spans="1:1" x14ac:dyDescent="0.35">
      <c r="A229" s="402"/>
    </row>
    <row r="230" spans="1:1" x14ac:dyDescent="0.35">
      <c r="A230" s="402"/>
    </row>
    <row r="231" spans="1:1" x14ac:dyDescent="0.35">
      <c r="A231" s="402"/>
    </row>
    <row r="232" spans="1:1" x14ac:dyDescent="0.35">
      <c r="A232" s="402"/>
    </row>
    <row r="233" spans="1:1" x14ac:dyDescent="0.35">
      <c r="A233" s="402"/>
    </row>
    <row r="234" spans="1:1" x14ac:dyDescent="0.35">
      <c r="A234" s="402"/>
    </row>
    <row r="235" spans="1:1" x14ac:dyDescent="0.35">
      <c r="A235" s="402"/>
    </row>
    <row r="236" spans="1:1" x14ac:dyDescent="0.35">
      <c r="A236" s="402"/>
    </row>
    <row r="237" spans="1:1" x14ac:dyDescent="0.35">
      <c r="A237" s="402"/>
    </row>
    <row r="238" spans="1:1" x14ac:dyDescent="0.35">
      <c r="A238" s="402"/>
    </row>
    <row r="239" spans="1:1" x14ac:dyDescent="0.35">
      <c r="A239" s="402"/>
    </row>
    <row r="240" spans="1:1" x14ac:dyDescent="0.35">
      <c r="A240" s="402"/>
    </row>
    <row r="241" spans="1:1" x14ac:dyDescent="0.35">
      <c r="A241" s="402"/>
    </row>
    <row r="242" spans="1:1" x14ac:dyDescent="0.35">
      <c r="A242" s="402"/>
    </row>
    <row r="243" spans="1:1" x14ac:dyDescent="0.35">
      <c r="A243" s="402"/>
    </row>
    <row r="244" spans="1:1" x14ac:dyDescent="0.35">
      <c r="A244" s="402"/>
    </row>
    <row r="245" spans="1:1" x14ac:dyDescent="0.35">
      <c r="A245" s="402"/>
    </row>
    <row r="246" spans="1:1" x14ac:dyDescent="0.35">
      <c r="A246" s="402"/>
    </row>
    <row r="247" spans="1:1" x14ac:dyDescent="0.35">
      <c r="A247" s="402"/>
    </row>
    <row r="248" spans="1:1" x14ac:dyDescent="0.35">
      <c r="A248" s="402"/>
    </row>
    <row r="249" spans="1:1" x14ac:dyDescent="0.35">
      <c r="A249" s="402"/>
    </row>
    <row r="250" spans="1:1" x14ac:dyDescent="0.35">
      <c r="A250" s="402"/>
    </row>
    <row r="251" spans="1:1" x14ac:dyDescent="0.35">
      <c r="A251" s="402"/>
    </row>
    <row r="252" spans="1:1" x14ac:dyDescent="0.35">
      <c r="A252" s="402"/>
    </row>
    <row r="253" spans="1:1" x14ac:dyDescent="0.35">
      <c r="A253" s="402"/>
    </row>
    <row r="254" spans="1:1" x14ac:dyDescent="0.35">
      <c r="A254" s="402"/>
    </row>
    <row r="255" spans="1:1" x14ac:dyDescent="0.35">
      <c r="A255" s="402"/>
    </row>
    <row r="256" spans="1:1" x14ac:dyDescent="0.35">
      <c r="A256" s="402"/>
    </row>
    <row r="257" spans="1:1" x14ac:dyDescent="0.35">
      <c r="A257" s="402"/>
    </row>
    <row r="258" spans="1:1" x14ac:dyDescent="0.35">
      <c r="A258" s="402"/>
    </row>
    <row r="259" spans="1:1" x14ac:dyDescent="0.35">
      <c r="A259" s="402"/>
    </row>
    <row r="260" spans="1:1" x14ac:dyDescent="0.35">
      <c r="A260" s="402"/>
    </row>
    <row r="261" spans="1:1" x14ac:dyDescent="0.35">
      <c r="A261" s="402"/>
    </row>
    <row r="262" spans="1:1" x14ac:dyDescent="0.35">
      <c r="A262" s="402"/>
    </row>
    <row r="263" spans="1:1" x14ac:dyDescent="0.35">
      <c r="A263" s="402"/>
    </row>
    <row r="264" spans="1:1" x14ac:dyDescent="0.35">
      <c r="A264" s="402"/>
    </row>
    <row r="265" spans="1:1" x14ac:dyDescent="0.35">
      <c r="A265" s="402"/>
    </row>
    <row r="266" spans="1:1" x14ac:dyDescent="0.35">
      <c r="A266" s="402"/>
    </row>
    <row r="267" spans="1:1" x14ac:dyDescent="0.35">
      <c r="A267" s="402"/>
    </row>
    <row r="268" spans="1:1" x14ac:dyDescent="0.35">
      <c r="A268" s="402"/>
    </row>
    <row r="269" spans="1:1" x14ac:dyDescent="0.35">
      <c r="A269" s="402"/>
    </row>
    <row r="270" spans="1:1" x14ac:dyDescent="0.35">
      <c r="A270" s="402"/>
    </row>
    <row r="271" spans="1:1" x14ac:dyDescent="0.35">
      <c r="A271" s="402"/>
    </row>
    <row r="272" spans="1:1" x14ac:dyDescent="0.35">
      <c r="A272" s="402"/>
    </row>
    <row r="273" spans="1:1" x14ac:dyDescent="0.35">
      <c r="A273" s="402"/>
    </row>
    <row r="274" spans="1:1" x14ac:dyDescent="0.35">
      <c r="A274" s="402"/>
    </row>
    <row r="275" spans="1:1" x14ac:dyDescent="0.35">
      <c r="A275" s="402"/>
    </row>
    <row r="276" spans="1:1" x14ac:dyDescent="0.35">
      <c r="A276" s="402"/>
    </row>
    <row r="277" spans="1:1" x14ac:dyDescent="0.35">
      <c r="A277" s="402"/>
    </row>
    <row r="278" spans="1:1" x14ac:dyDescent="0.35">
      <c r="A278" s="402"/>
    </row>
    <row r="279" spans="1:1" x14ac:dyDescent="0.35">
      <c r="A279" s="402"/>
    </row>
    <row r="280" spans="1:1" x14ac:dyDescent="0.35">
      <c r="A280" s="402"/>
    </row>
    <row r="281" spans="1:1" x14ac:dyDescent="0.35">
      <c r="A281" s="402"/>
    </row>
    <row r="282" spans="1:1" x14ac:dyDescent="0.35">
      <c r="A282" s="402"/>
    </row>
    <row r="283" spans="1:1" x14ac:dyDescent="0.35">
      <c r="A283" s="402"/>
    </row>
    <row r="284" spans="1:1" x14ac:dyDescent="0.35">
      <c r="A284" s="402"/>
    </row>
    <row r="285" spans="1:1" x14ac:dyDescent="0.35">
      <c r="A285" s="402"/>
    </row>
    <row r="286" spans="1:1" x14ac:dyDescent="0.35">
      <c r="A286" s="402"/>
    </row>
    <row r="287" spans="1:1" x14ac:dyDescent="0.35">
      <c r="A287" s="402"/>
    </row>
    <row r="288" spans="1:1" x14ac:dyDescent="0.35">
      <c r="A288" s="402"/>
    </row>
    <row r="289" spans="1:1" x14ac:dyDescent="0.35">
      <c r="A289" s="402"/>
    </row>
    <row r="290" spans="1:1" x14ac:dyDescent="0.35">
      <c r="A290" s="402"/>
    </row>
    <row r="291" spans="1:1" x14ac:dyDescent="0.35">
      <c r="A291" s="402"/>
    </row>
    <row r="292" spans="1:1" x14ac:dyDescent="0.35">
      <c r="A292" s="402"/>
    </row>
    <row r="293" spans="1:1" x14ac:dyDescent="0.35">
      <c r="A293" s="402"/>
    </row>
    <row r="294" spans="1:1" x14ac:dyDescent="0.35">
      <c r="A294" s="402"/>
    </row>
    <row r="295" spans="1:1" x14ac:dyDescent="0.35">
      <c r="A295" s="402"/>
    </row>
    <row r="296" spans="1:1" x14ac:dyDescent="0.35">
      <c r="A296" s="402"/>
    </row>
    <row r="297" spans="1:1" x14ac:dyDescent="0.35">
      <c r="A297" s="402"/>
    </row>
    <row r="298" spans="1:1" x14ac:dyDescent="0.35">
      <c r="A298" s="402"/>
    </row>
    <row r="299" spans="1:1" x14ac:dyDescent="0.35">
      <c r="A299" s="402"/>
    </row>
    <row r="300" spans="1:1" x14ac:dyDescent="0.35">
      <c r="A300" s="402"/>
    </row>
    <row r="301" spans="1:1" x14ac:dyDescent="0.35">
      <c r="A301" s="402"/>
    </row>
    <row r="302" spans="1:1" x14ac:dyDescent="0.35">
      <c r="A302" s="402"/>
    </row>
    <row r="303" spans="1:1" x14ac:dyDescent="0.35">
      <c r="A303" s="402"/>
    </row>
    <row r="304" spans="1:1" x14ac:dyDescent="0.35">
      <c r="A304" s="402"/>
    </row>
    <row r="305" spans="1:1" x14ac:dyDescent="0.35">
      <c r="A305" s="402"/>
    </row>
    <row r="306" spans="1:1" x14ac:dyDescent="0.35">
      <c r="A306" s="402"/>
    </row>
    <row r="307" spans="1:1" x14ac:dyDescent="0.35">
      <c r="A307" s="402"/>
    </row>
    <row r="308" spans="1:1" x14ac:dyDescent="0.35">
      <c r="A308" s="402"/>
    </row>
    <row r="309" spans="1:1" x14ac:dyDescent="0.35">
      <c r="A309" s="402"/>
    </row>
    <row r="310" spans="1:1" x14ac:dyDescent="0.35">
      <c r="A310" s="402"/>
    </row>
    <row r="311" spans="1:1" x14ac:dyDescent="0.35">
      <c r="A311" s="402"/>
    </row>
    <row r="312" spans="1:1" x14ac:dyDescent="0.35">
      <c r="A312" s="402"/>
    </row>
    <row r="313" spans="1:1" x14ac:dyDescent="0.35">
      <c r="A313" s="402"/>
    </row>
    <row r="314" spans="1:1" x14ac:dyDescent="0.35">
      <c r="A314" s="402"/>
    </row>
    <row r="315" spans="1:1" x14ac:dyDescent="0.35">
      <c r="A315" s="402"/>
    </row>
    <row r="316" spans="1:1" x14ac:dyDescent="0.35">
      <c r="A316" s="402"/>
    </row>
    <row r="317" spans="1:1" x14ac:dyDescent="0.35">
      <c r="A317" s="402"/>
    </row>
    <row r="318" spans="1:1" x14ac:dyDescent="0.35">
      <c r="A318" s="402"/>
    </row>
    <row r="319" spans="1:1" x14ac:dyDescent="0.35">
      <c r="A319" s="402"/>
    </row>
    <row r="320" spans="1:1" x14ac:dyDescent="0.35">
      <c r="A320" s="402"/>
    </row>
    <row r="321" spans="1:1" x14ac:dyDescent="0.35">
      <c r="A321" s="402"/>
    </row>
    <row r="322" spans="1:1" x14ac:dyDescent="0.35">
      <c r="A322" s="402"/>
    </row>
    <row r="323" spans="1:1" x14ac:dyDescent="0.35">
      <c r="A323" s="402"/>
    </row>
    <row r="324" spans="1:1" x14ac:dyDescent="0.35">
      <c r="A324" s="402"/>
    </row>
    <row r="325" spans="1:1" x14ac:dyDescent="0.35">
      <c r="A325" s="402"/>
    </row>
    <row r="326" spans="1:1" x14ac:dyDescent="0.35">
      <c r="A326" s="402"/>
    </row>
    <row r="327" spans="1:1" x14ac:dyDescent="0.35">
      <c r="A327" s="402"/>
    </row>
    <row r="328" spans="1:1" x14ac:dyDescent="0.35">
      <c r="A328" s="402"/>
    </row>
    <row r="329" spans="1:1" x14ac:dyDescent="0.35">
      <c r="A329" s="402"/>
    </row>
    <row r="330" spans="1:1" x14ac:dyDescent="0.35">
      <c r="A330" s="402"/>
    </row>
    <row r="331" spans="1:1" x14ac:dyDescent="0.35">
      <c r="A331" s="402"/>
    </row>
    <row r="332" spans="1:1" x14ac:dyDescent="0.35">
      <c r="A332" s="402"/>
    </row>
    <row r="333" spans="1:1" x14ac:dyDescent="0.35">
      <c r="A333" s="402"/>
    </row>
    <row r="334" spans="1:1" x14ac:dyDescent="0.35">
      <c r="A334" s="402"/>
    </row>
    <row r="335" spans="1:1" x14ac:dyDescent="0.35">
      <c r="A335" s="402"/>
    </row>
    <row r="336" spans="1:1" x14ac:dyDescent="0.35">
      <c r="A336" s="402"/>
    </row>
    <row r="337" spans="1:1" x14ac:dyDescent="0.35">
      <c r="A337" s="402"/>
    </row>
    <row r="338" spans="1:1" x14ac:dyDescent="0.35">
      <c r="A338" s="402"/>
    </row>
    <row r="339" spans="1:1" x14ac:dyDescent="0.35">
      <c r="A339" s="402"/>
    </row>
    <row r="340" spans="1:1" x14ac:dyDescent="0.35">
      <c r="A340" s="402"/>
    </row>
    <row r="341" spans="1:1" x14ac:dyDescent="0.35">
      <c r="A341" s="402"/>
    </row>
    <row r="342" spans="1:1" x14ac:dyDescent="0.35">
      <c r="A342" s="402"/>
    </row>
    <row r="343" spans="1:1" x14ac:dyDescent="0.35">
      <c r="A343" s="402"/>
    </row>
    <row r="344" spans="1:1" x14ac:dyDescent="0.35">
      <c r="A344" s="402"/>
    </row>
    <row r="345" spans="1:1" x14ac:dyDescent="0.35">
      <c r="A345" s="402"/>
    </row>
    <row r="346" spans="1:1" x14ac:dyDescent="0.35">
      <c r="A346" s="402"/>
    </row>
    <row r="347" spans="1:1" x14ac:dyDescent="0.35">
      <c r="A347" s="402"/>
    </row>
    <row r="348" spans="1:1" x14ac:dyDescent="0.35">
      <c r="A348" s="402"/>
    </row>
    <row r="349" spans="1:1" x14ac:dyDescent="0.35">
      <c r="A349" s="402"/>
    </row>
    <row r="350" spans="1:1" x14ac:dyDescent="0.35">
      <c r="A350" s="402"/>
    </row>
    <row r="351" spans="1:1" x14ac:dyDescent="0.35">
      <c r="A351" s="402"/>
    </row>
    <row r="352" spans="1:1" x14ac:dyDescent="0.35">
      <c r="A352" s="402"/>
    </row>
    <row r="353" spans="1:1" x14ac:dyDescent="0.35">
      <c r="A353" s="402"/>
    </row>
    <row r="354" spans="1:1" x14ac:dyDescent="0.35">
      <c r="A354" s="402"/>
    </row>
    <row r="355" spans="1:1" x14ac:dyDescent="0.35">
      <c r="A355" s="402"/>
    </row>
    <row r="356" spans="1:1" x14ac:dyDescent="0.35">
      <c r="A356" s="402"/>
    </row>
    <row r="357" spans="1:1" x14ac:dyDescent="0.35">
      <c r="A357" s="402"/>
    </row>
    <row r="358" spans="1:1" x14ac:dyDescent="0.35">
      <c r="A358" s="402"/>
    </row>
    <row r="359" spans="1:1" x14ac:dyDescent="0.35">
      <c r="A359" s="402"/>
    </row>
    <row r="360" spans="1:1" x14ac:dyDescent="0.35">
      <c r="A360" s="402"/>
    </row>
    <row r="361" spans="1:1" x14ac:dyDescent="0.35">
      <c r="A361" s="402"/>
    </row>
    <row r="362" spans="1:1" x14ac:dyDescent="0.35">
      <c r="A362" s="402"/>
    </row>
    <row r="363" spans="1:1" x14ac:dyDescent="0.35">
      <c r="A363" s="402"/>
    </row>
    <row r="364" spans="1:1" x14ac:dyDescent="0.35">
      <c r="A364" s="402"/>
    </row>
    <row r="365" spans="1:1" x14ac:dyDescent="0.35">
      <c r="A365" s="402"/>
    </row>
    <row r="366" spans="1:1" x14ac:dyDescent="0.35">
      <c r="A366" s="402"/>
    </row>
    <row r="367" spans="1:1" x14ac:dyDescent="0.35">
      <c r="A367" s="402"/>
    </row>
    <row r="368" spans="1:1" x14ac:dyDescent="0.35">
      <c r="A368" s="402"/>
    </row>
    <row r="369" spans="1:1" x14ac:dyDescent="0.35">
      <c r="A369" s="402"/>
    </row>
    <row r="370" spans="1:1" x14ac:dyDescent="0.35">
      <c r="A370" s="402"/>
    </row>
    <row r="371" spans="1:1" x14ac:dyDescent="0.35">
      <c r="A371" s="402"/>
    </row>
    <row r="372" spans="1:1" x14ac:dyDescent="0.35">
      <c r="A372" s="402"/>
    </row>
    <row r="373" spans="1:1" x14ac:dyDescent="0.35">
      <c r="A373" s="402"/>
    </row>
    <row r="374" spans="1:1" x14ac:dyDescent="0.35">
      <c r="A374" s="402"/>
    </row>
    <row r="375" spans="1:1" x14ac:dyDescent="0.35">
      <c r="A375" s="402"/>
    </row>
    <row r="376" spans="1:1" x14ac:dyDescent="0.35">
      <c r="A376" s="402"/>
    </row>
    <row r="377" spans="1:1" x14ac:dyDescent="0.35">
      <c r="A377" s="402"/>
    </row>
    <row r="378" spans="1:1" x14ac:dyDescent="0.35">
      <c r="A378" s="402"/>
    </row>
    <row r="379" spans="1:1" x14ac:dyDescent="0.35">
      <c r="A379" s="402"/>
    </row>
    <row r="380" spans="1:1" x14ac:dyDescent="0.35">
      <c r="A380" s="402"/>
    </row>
    <row r="381" spans="1:1" x14ac:dyDescent="0.35">
      <c r="A381" s="402"/>
    </row>
    <row r="382" spans="1:1" x14ac:dyDescent="0.35">
      <c r="A382" s="402"/>
    </row>
    <row r="383" spans="1:1" x14ac:dyDescent="0.35">
      <c r="A383" s="402"/>
    </row>
    <row r="384" spans="1:1" x14ac:dyDescent="0.35">
      <c r="A384" s="402"/>
    </row>
    <row r="385" spans="1:1" x14ac:dyDescent="0.35">
      <c r="A385" s="402"/>
    </row>
    <row r="386" spans="1:1" x14ac:dyDescent="0.35">
      <c r="A386" s="402"/>
    </row>
    <row r="387" spans="1:1" x14ac:dyDescent="0.35">
      <c r="A387" s="402"/>
    </row>
    <row r="388" spans="1:1" x14ac:dyDescent="0.35">
      <c r="A388" s="402"/>
    </row>
    <row r="389" spans="1:1" x14ac:dyDescent="0.35">
      <c r="A389" s="402"/>
    </row>
    <row r="390" spans="1:1" x14ac:dyDescent="0.35">
      <c r="A390" s="402"/>
    </row>
    <row r="391" spans="1:1" x14ac:dyDescent="0.35">
      <c r="A391" s="402"/>
    </row>
    <row r="392" spans="1:1" x14ac:dyDescent="0.35">
      <c r="A392" s="402"/>
    </row>
    <row r="393" spans="1:1" x14ac:dyDescent="0.35">
      <c r="A393" s="402"/>
    </row>
    <row r="394" spans="1:1" x14ac:dyDescent="0.35">
      <c r="A394" s="402"/>
    </row>
    <row r="395" spans="1:1" x14ac:dyDescent="0.35">
      <c r="A395" s="402"/>
    </row>
    <row r="396" spans="1:1" x14ac:dyDescent="0.35">
      <c r="A396" s="402"/>
    </row>
    <row r="397" spans="1:1" x14ac:dyDescent="0.35">
      <c r="A397" s="402"/>
    </row>
    <row r="398" spans="1:1" x14ac:dyDescent="0.35">
      <c r="A398" s="402"/>
    </row>
    <row r="399" spans="1:1" x14ac:dyDescent="0.35">
      <c r="A399" s="402"/>
    </row>
    <row r="400" spans="1:1" x14ac:dyDescent="0.35">
      <c r="A400" s="402"/>
    </row>
    <row r="401" spans="1:1" x14ac:dyDescent="0.35">
      <c r="A401" s="402"/>
    </row>
    <row r="402" spans="1:1" x14ac:dyDescent="0.35">
      <c r="A402" s="402"/>
    </row>
    <row r="403" spans="1:1" x14ac:dyDescent="0.35">
      <c r="A403" s="402"/>
    </row>
    <row r="404" spans="1:1" x14ac:dyDescent="0.35">
      <c r="A404" s="402"/>
    </row>
    <row r="405" spans="1:1" x14ac:dyDescent="0.35">
      <c r="A405" s="402"/>
    </row>
    <row r="406" spans="1:1" x14ac:dyDescent="0.35">
      <c r="A406" s="402"/>
    </row>
    <row r="407" spans="1:1" x14ac:dyDescent="0.35">
      <c r="A407" s="402"/>
    </row>
    <row r="408" spans="1:1" x14ac:dyDescent="0.35">
      <c r="A408" s="402"/>
    </row>
    <row r="409" spans="1:1" x14ac:dyDescent="0.35">
      <c r="A409" s="402"/>
    </row>
    <row r="410" spans="1:1" x14ac:dyDescent="0.35">
      <c r="A410" s="402"/>
    </row>
    <row r="411" spans="1:1" x14ac:dyDescent="0.35">
      <c r="A411" s="402"/>
    </row>
    <row r="412" spans="1:1" x14ac:dyDescent="0.35">
      <c r="A412" s="402"/>
    </row>
    <row r="413" spans="1:1" x14ac:dyDescent="0.35">
      <c r="A413" s="402"/>
    </row>
    <row r="414" spans="1:1" x14ac:dyDescent="0.35">
      <c r="A414" s="402"/>
    </row>
    <row r="415" spans="1:1" x14ac:dyDescent="0.35">
      <c r="A415" s="402"/>
    </row>
    <row r="416" spans="1:1" x14ac:dyDescent="0.35">
      <c r="A416" s="402"/>
    </row>
    <row r="417" spans="1:1" x14ac:dyDescent="0.35">
      <c r="A417" s="402"/>
    </row>
    <row r="418" spans="1:1" x14ac:dyDescent="0.35">
      <c r="A418" s="402"/>
    </row>
    <row r="419" spans="1:1" x14ac:dyDescent="0.35">
      <c r="A419" s="402"/>
    </row>
    <row r="420" spans="1:1" x14ac:dyDescent="0.35">
      <c r="A420" s="402"/>
    </row>
    <row r="421" spans="1:1" x14ac:dyDescent="0.35">
      <c r="A421" s="402"/>
    </row>
    <row r="422" spans="1:1" x14ac:dyDescent="0.35">
      <c r="A422" s="402"/>
    </row>
    <row r="423" spans="1:1" x14ac:dyDescent="0.35">
      <c r="A423" s="402"/>
    </row>
    <row r="424" spans="1:1" x14ac:dyDescent="0.35">
      <c r="A424" s="402"/>
    </row>
    <row r="425" spans="1:1" x14ac:dyDescent="0.35">
      <c r="A425" s="402"/>
    </row>
    <row r="426" spans="1:1" x14ac:dyDescent="0.35">
      <c r="A426" s="402"/>
    </row>
    <row r="427" spans="1:1" x14ac:dyDescent="0.35">
      <c r="A427" s="402"/>
    </row>
    <row r="428" spans="1:1" x14ac:dyDescent="0.35">
      <c r="A428" s="402"/>
    </row>
    <row r="429" spans="1:1" x14ac:dyDescent="0.35">
      <c r="A429" s="402"/>
    </row>
    <row r="430" spans="1:1" x14ac:dyDescent="0.35">
      <c r="A430" s="402"/>
    </row>
    <row r="431" spans="1:1" x14ac:dyDescent="0.35">
      <c r="A431" s="402"/>
    </row>
    <row r="432" spans="1:1" x14ac:dyDescent="0.35">
      <c r="A432" s="402"/>
    </row>
    <row r="433" spans="1:1" x14ac:dyDescent="0.35">
      <c r="A433" s="402"/>
    </row>
    <row r="434" spans="1:1" x14ac:dyDescent="0.35">
      <c r="A434" s="402"/>
    </row>
    <row r="435" spans="1:1" x14ac:dyDescent="0.35">
      <c r="A435" s="402"/>
    </row>
    <row r="436" spans="1:1" x14ac:dyDescent="0.35">
      <c r="A436" s="402"/>
    </row>
    <row r="437" spans="1:1" x14ac:dyDescent="0.35">
      <c r="A437" s="402"/>
    </row>
    <row r="438" spans="1:1" x14ac:dyDescent="0.35">
      <c r="A438" s="402"/>
    </row>
    <row r="439" spans="1:1" x14ac:dyDescent="0.35">
      <c r="A439" s="402"/>
    </row>
    <row r="440" spans="1:1" x14ac:dyDescent="0.35">
      <c r="A440" s="402"/>
    </row>
    <row r="441" spans="1:1" x14ac:dyDescent="0.35">
      <c r="A441" s="402"/>
    </row>
    <row r="442" spans="1:1" x14ac:dyDescent="0.35">
      <c r="A442" s="402"/>
    </row>
    <row r="443" spans="1:1" x14ac:dyDescent="0.35">
      <c r="A443" s="402"/>
    </row>
    <row r="444" spans="1:1" x14ac:dyDescent="0.35">
      <c r="A444" s="402"/>
    </row>
    <row r="445" spans="1:1" x14ac:dyDescent="0.35">
      <c r="A445" s="402"/>
    </row>
    <row r="446" spans="1:1" x14ac:dyDescent="0.35">
      <c r="A446" s="402"/>
    </row>
    <row r="447" spans="1:1" x14ac:dyDescent="0.35">
      <c r="A447" s="402"/>
    </row>
    <row r="448" spans="1:1" x14ac:dyDescent="0.35">
      <c r="A448" s="402"/>
    </row>
    <row r="449" spans="1:1" x14ac:dyDescent="0.35">
      <c r="A449" s="402"/>
    </row>
    <row r="450" spans="1:1" x14ac:dyDescent="0.35">
      <c r="A450" s="402"/>
    </row>
    <row r="451" spans="1:1" x14ac:dyDescent="0.35">
      <c r="A451" s="402"/>
    </row>
    <row r="452" spans="1:1" x14ac:dyDescent="0.35">
      <c r="A452" s="402"/>
    </row>
    <row r="453" spans="1:1" x14ac:dyDescent="0.35">
      <c r="A453" s="402"/>
    </row>
    <row r="454" spans="1:1" x14ac:dyDescent="0.35">
      <c r="A454" s="402"/>
    </row>
    <row r="455" spans="1:1" x14ac:dyDescent="0.35">
      <c r="A455" s="402"/>
    </row>
    <row r="456" spans="1:1" x14ac:dyDescent="0.35">
      <c r="A456" s="402"/>
    </row>
    <row r="457" spans="1:1" x14ac:dyDescent="0.35">
      <c r="A457" s="402"/>
    </row>
    <row r="458" spans="1:1" x14ac:dyDescent="0.35">
      <c r="A458" s="402"/>
    </row>
    <row r="459" spans="1:1" x14ac:dyDescent="0.35">
      <c r="A459" s="402"/>
    </row>
    <row r="460" spans="1:1" x14ac:dyDescent="0.35">
      <c r="A460" s="402"/>
    </row>
    <row r="461" spans="1:1" x14ac:dyDescent="0.35">
      <c r="A461" s="402"/>
    </row>
    <row r="462" spans="1:1" x14ac:dyDescent="0.35">
      <c r="A462" s="402"/>
    </row>
    <row r="463" spans="1:1" x14ac:dyDescent="0.35">
      <c r="A463" s="402"/>
    </row>
    <row r="464" spans="1:1" x14ac:dyDescent="0.35">
      <c r="A464" s="402"/>
    </row>
    <row r="465" spans="1:1" x14ac:dyDescent="0.35">
      <c r="A465" s="402"/>
    </row>
    <row r="466" spans="1:1" x14ac:dyDescent="0.35">
      <c r="A466" s="402"/>
    </row>
    <row r="467" spans="1:1" x14ac:dyDescent="0.35">
      <c r="A467" s="402"/>
    </row>
    <row r="468" spans="1:1" x14ac:dyDescent="0.35">
      <c r="A468" s="402"/>
    </row>
    <row r="469" spans="1:1" x14ac:dyDescent="0.35">
      <c r="A469" s="402"/>
    </row>
    <row r="470" spans="1:1" x14ac:dyDescent="0.35">
      <c r="A470" s="402"/>
    </row>
    <row r="471" spans="1:1" x14ac:dyDescent="0.35">
      <c r="A471" s="402"/>
    </row>
    <row r="472" spans="1:1" x14ac:dyDescent="0.35">
      <c r="A472" s="402"/>
    </row>
    <row r="473" spans="1:1" x14ac:dyDescent="0.35">
      <c r="A473" s="402"/>
    </row>
    <row r="474" spans="1:1" x14ac:dyDescent="0.35">
      <c r="A474" s="402"/>
    </row>
    <row r="475" spans="1:1" x14ac:dyDescent="0.35">
      <c r="A475" s="402"/>
    </row>
    <row r="476" spans="1:1" x14ac:dyDescent="0.35">
      <c r="A476" s="402"/>
    </row>
    <row r="477" spans="1:1" x14ac:dyDescent="0.35">
      <c r="A477" s="402"/>
    </row>
    <row r="478" spans="1:1" x14ac:dyDescent="0.35">
      <c r="A478" s="402"/>
    </row>
    <row r="479" spans="1:1" x14ac:dyDescent="0.35">
      <c r="A479" s="402"/>
    </row>
    <row r="480" spans="1:1" x14ac:dyDescent="0.35">
      <c r="A480" s="402"/>
    </row>
    <row r="481" spans="1:1" x14ac:dyDescent="0.35">
      <c r="A481" s="402"/>
    </row>
    <row r="482" spans="1:1" x14ac:dyDescent="0.35">
      <c r="A482" s="402"/>
    </row>
    <row r="483" spans="1:1" x14ac:dyDescent="0.35">
      <c r="A483" s="402"/>
    </row>
    <row r="484" spans="1:1" x14ac:dyDescent="0.35">
      <c r="A484" s="402"/>
    </row>
    <row r="485" spans="1:1" x14ac:dyDescent="0.35">
      <c r="A485" s="402"/>
    </row>
    <row r="486" spans="1:1" x14ac:dyDescent="0.35">
      <c r="A486" s="402"/>
    </row>
    <row r="487" spans="1:1" x14ac:dyDescent="0.35">
      <c r="A487" s="402"/>
    </row>
    <row r="488" spans="1:1" x14ac:dyDescent="0.35">
      <c r="A488" s="402"/>
    </row>
    <row r="489" spans="1:1" x14ac:dyDescent="0.35">
      <c r="A489" s="402"/>
    </row>
    <row r="490" spans="1:1" x14ac:dyDescent="0.35">
      <c r="A490" s="402"/>
    </row>
    <row r="491" spans="1:1" x14ac:dyDescent="0.35">
      <c r="A491" s="402"/>
    </row>
    <row r="492" spans="1:1" x14ac:dyDescent="0.35">
      <c r="A492" s="402"/>
    </row>
    <row r="493" spans="1:1" x14ac:dyDescent="0.35">
      <c r="A493" s="402"/>
    </row>
    <row r="494" spans="1:1" x14ac:dyDescent="0.35">
      <c r="A494" s="402"/>
    </row>
    <row r="495" spans="1:1" x14ac:dyDescent="0.35">
      <c r="A495" s="402"/>
    </row>
    <row r="496" spans="1:1" x14ac:dyDescent="0.35">
      <c r="A496" s="402"/>
    </row>
    <row r="497" spans="1:1" x14ac:dyDescent="0.35">
      <c r="A497" s="402"/>
    </row>
    <row r="498" spans="1:1" x14ac:dyDescent="0.35">
      <c r="A498" s="402"/>
    </row>
    <row r="499" spans="1:1" x14ac:dyDescent="0.35">
      <c r="A499" s="402"/>
    </row>
    <row r="500" spans="1:1" x14ac:dyDescent="0.35">
      <c r="A500" s="402"/>
    </row>
    <row r="501" spans="1:1" x14ac:dyDescent="0.35">
      <c r="A501" s="402"/>
    </row>
    <row r="502" spans="1:1" x14ac:dyDescent="0.35">
      <c r="A502" s="402"/>
    </row>
    <row r="503" spans="1:1" x14ac:dyDescent="0.35">
      <c r="A503" s="402"/>
    </row>
    <row r="504" spans="1:1" x14ac:dyDescent="0.35">
      <c r="A504" s="402"/>
    </row>
    <row r="505" spans="1:1" x14ac:dyDescent="0.35">
      <c r="A505" s="402"/>
    </row>
    <row r="506" spans="1:1" x14ac:dyDescent="0.35">
      <c r="A506" s="402"/>
    </row>
    <row r="507" spans="1:1" x14ac:dyDescent="0.35">
      <c r="A507" s="402"/>
    </row>
    <row r="508" spans="1:1" x14ac:dyDescent="0.35">
      <c r="A508" s="402"/>
    </row>
    <row r="509" spans="1:1" x14ac:dyDescent="0.35">
      <c r="A509" s="402"/>
    </row>
    <row r="510" spans="1:1" x14ac:dyDescent="0.35">
      <c r="A510" s="402"/>
    </row>
    <row r="511" spans="1:1" x14ac:dyDescent="0.35">
      <c r="A511" s="402"/>
    </row>
    <row r="512" spans="1:1" x14ac:dyDescent="0.35">
      <c r="A512" s="402"/>
    </row>
    <row r="513" spans="1:1" x14ac:dyDescent="0.35">
      <c r="A513" s="402"/>
    </row>
    <row r="514" spans="1:1" x14ac:dyDescent="0.35">
      <c r="A514" s="402"/>
    </row>
    <row r="515" spans="1:1" x14ac:dyDescent="0.35">
      <c r="A515" s="402"/>
    </row>
    <row r="516" spans="1:1" x14ac:dyDescent="0.35">
      <c r="A516" s="402"/>
    </row>
    <row r="517" spans="1:1" x14ac:dyDescent="0.35">
      <c r="A517" s="402"/>
    </row>
    <row r="518" spans="1:1" x14ac:dyDescent="0.35">
      <c r="A518" s="402"/>
    </row>
    <row r="519" spans="1:1" x14ac:dyDescent="0.35">
      <c r="A519" s="402"/>
    </row>
    <row r="520" spans="1:1" x14ac:dyDescent="0.35">
      <c r="A520" s="402"/>
    </row>
    <row r="521" spans="1:1" x14ac:dyDescent="0.35">
      <c r="A521" s="402"/>
    </row>
    <row r="522" spans="1:1" x14ac:dyDescent="0.35">
      <c r="A522" s="402"/>
    </row>
    <row r="523" spans="1:1" x14ac:dyDescent="0.35">
      <c r="A523" s="402"/>
    </row>
    <row r="524" spans="1:1" x14ac:dyDescent="0.35">
      <c r="A524" s="402"/>
    </row>
    <row r="525" spans="1:1" x14ac:dyDescent="0.35">
      <c r="A525" s="402"/>
    </row>
    <row r="526" spans="1:1" x14ac:dyDescent="0.35">
      <c r="A526" s="402"/>
    </row>
    <row r="527" spans="1:1" x14ac:dyDescent="0.35">
      <c r="A527" s="402"/>
    </row>
    <row r="528" spans="1:1" x14ac:dyDescent="0.35">
      <c r="A528" s="402"/>
    </row>
    <row r="529" spans="1:1" x14ac:dyDescent="0.35">
      <c r="A529" s="402"/>
    </row>
    <row r="530" spans="1:1" x14ac:dyDescent="0.35">
      <c r="A530" s="402"/>
    </row>
    <row r="531" spans="1:1" x14ac:dyDescent="0.35">
      <c r="A531" s="402"/>
    </row>
    <row r="532" spans="1:1" x14ac:dyDescent="0.35">
      <c r="A532" s="402"/>
    </row>
    <row r="533" spans="1:1" x14ac:dyDescent="0.35">
      <c r="A533" s="402"/>
    </row>
    <row r="534" spans="1:1" x14ac:dyDescent="0.35">
      <c r="A534" s="402"/>
    </row>
    <row r="535" spans="1:1" x14ac:dyDescent="0.35">
      <c r="A535" s="402"/>
    </row>
    <row r="536" spans="1:1" x14ac:dyDescent="0.35">
      <c r="A536" s="402"/>
    </row>
    <row r="537" spans="1:1" x14ac:dyDescent="0.35">
      <c r="A537" s="402"/>
    </row>
    <row r="538" spans="1:1" x14ac:dyDescent="0.35">
      <c r="A538" s="402"/>
    </row>
    <row r="539" spans="1:1" x14ac:dyDescent="0.35">
      <c r="A539" s="402"/>
    </row>
    <row r="540" spans="1:1" x14ac:dyDescent="0.35">
      <c r="A540" s="402"/>
    </row>
    <row r="541" spans="1:1" x14ac:dyDescent="0.35">
      <c r="A541" s="402"/>
    </row>
    <row r="542" spans="1:1" x14ac:dyDescent="0.35">
      <c r="A542" s="402"/>
    </row>
    <row r="543" spans="1:1" x14ac:dyDescent="0.35">
      <c r="A543" s="402"/>
    </row>
    <row r="544" spans="1:1" x14ac:dyDescent="0.35">
      <c r="A544" s="402"/>
    </row>
    <row r="545" spans="1:1" x14ac:dyDescent="0.35">
      <c r="A545" s="402"/>
    </row>
    <row r="546" spans="1:1" x14ac:dyDescent="0.35">
      <c r="A546" s="402"/>
    </row>
    <row r="547" spans="1:1" x14ac:dyDescent="0.35">
      <c r="A547" s="402"/>
    </row>
    <row r="548" spans="1:1" x14ac:dyDescent="0.35">
      <c r="A548" s="402"/>
    </row>
    <row r="549" spans="1:1" x14ac:dyDescent="0.35">
      <c r="A549" s="402"/>
    </row>
    <row r="550" spans="1:1" x14ac:dyDescent="0.35">
      <c r="A550" s="402"/>
    </row>
    <row r="551" spans="1:1" x14ac:dyDescent="0.35">
      <c r="A551" s="402"/>
    </row>
    <row r="552" spans="1:1" x14ac:dyDescent="0.35">
      <c r="A552" s="402"/>
    </row>
    <row r="553" spans="1:1" x14ac:dyDescent="0.35">
      <c r="A553" s="402"/>
    </row>
    <row r="554" spans="1:1" x14ac:dyDescent="0.35">
      <c r="A554" s="402"/>
    </row>
    <row r="555" spans="1:1" x14ac:dyDescent="0.35">
      <c r="A555" s="402"/>
    </row>
    <row r="556" spans="1:1" x14ac:dyDescent="0.35">
      <c r="A556" s="402"/>
    </row>
    <row r="557" spans="1:1" x14ac:dyDescent="0.35">
      <c r="A557" s="402"/>
    </row>
    <row r="558" spans="1:1" x14ac:dyDescent="0.35">
      <c r="A558" s="402"/>
    </row>
    <row r="559" spans="1:1" x14ac:dyDescent="0.35">
      <c r="A559" s="402"/>
    </row>
    <row r="560" spans="1:1" x14ac:dyDescent="0.35">
      <c r="A560" s="402"/>
    </row>
    <row r="561" spans="1:1" x14ac:dyDescent="0.35">
      <c r="A561" s="402"/>
    </row>
    <row r="562" spans="1:1" x14ac:dyDescent="0.35">
      <c r="A562" s="402"/>
    </row>
    <row r="563" spans="1:1" x14ac:dyDescent="0.35">
      <c r="A563" s="402"/>
    </row>
    <row r="564" spans="1:1" x14ac:dyDescent="0.35">
      <c r="A564" s="402"/>
    </row>
    <row r="565" spans="1:1" x14ac:dyDescent="0.35">
      <c r="A565" s="402"/>
    </row>
    <row r="566" spans="1:1" x14ac:dyDescent="0.35">
      <c r="A566" s="402"/>
    </row>
    <row r="567" spans="1:1" x14ac:dyDescent="0.35">
      <c r="A567" s="402"/>
    </row>
    <row r="568" spans="1:1" x14ac:dyDescent="0.35">
      <c r="A568" s="402"/>
    </row>
    <row r="569" spans="1:1" x14ac:dyDescent="0.35">
      <c r="A569" s="402"/>
    </row>
    <row r="570" spans="1:1" x14ac:dyDescent="0.35">
      <c r="A570" s="402"/>
    </row>
    <row r="571" spans="1:1" x14ac:dyDescent="0.35">
      <c r="A571" s="402"/>
    </row>
    <row r="572" spans="1:1" x14ac:dyDescent="0.35">
      <c r="A572" s="402"/>
    </row>
    <row r="573" spans="1:1" x14ac:dyDescent="0.35">
      <c r="A573" s="402"/>
    </row>
    <row r="574" spans="1:1" x14ac:dyDescent="0.35">
      <c r="A574" s="402"/>
    </row>
    <row r="575" spans="1:1" x14ac:dyDescent="0.35">
      <c r="A575" s="402"/>
    </row>
    <row r="576" spans="1:1" x14ac:dyDescent="0.35">
      <c r="A576" s="402"/>
    </row>
    <row r="577" spans="1:1" x14ac:dyDescent="0.35">
      <c r="A577" s="402"/>
    </row>
    <row r="578" spans="1:1" x14ac:dyDescent="0.35">
      <c r="A578" s="402"/>
    </row>
    <row r="579" spans="1:1" x14ac:dyDescent="0.35">
      <c r="A579" s="402"/>
    </row>
    <row r="580" spans="1:1" x14ac:dyDescent="0.35">
      <c r="A580" s="402"/>
    </row>
    <row r="581" spans="1:1" x14ac:dyDescent="0.35">
      <c r="A581" s="402"/>
    </row>
    <row r="582" spans="1:1" x14ac:dyDescent="0.35">
      <c r="A582" s="402"/>
    </row>
    <row r="583" spans="1:1" x14ac:dyDescent="0.35">
      <c r="A583" s="402"/>
    </row>
    <row r="584" spans="1:1" x14ac:dyDescent="0.35">
      <c r="A584" s="402"/>
    </row>
    <row r="585" spans="1:1" x14ac:dyDescent="0.35">
      <c r="A585" s="402"/>
    </row>
    <row r="586" spans="1:1" x14ac:dyDescent="0.35">
      <c r="A586" s="402"/>
    </row>
    <row r="587" spans="1:1" x14ac:dyDescent="0.35">
      <c r="A587" s="402"/>
    </row>
    <row r="588" spans="1:1" x14ac:dyDescent="0.35">
      <c r="A588" s="402"/>
    </row>
    <row r="589" spans="1:1" x14ac:dyDescent="0.35">
      <c r="A589" s="402"/>
    </row>
    <row r="590" spans="1:1" x14ac:dyDescent="0.35">
      <c r="A590" s="402"/>
    </row>
    <row r="591" spans="1:1" x14ac:dyDescent="0.35">
      <c r="A591" s="402"/>
    </row>
    <row r="592" spans="1:1" x14ac:dyDescent="0.35">
      <c r="A592" s="402"/>
    </row>
    <row r="593" spans="1:1" x14ac:dyDescent="0.35">
      <c r="A593" s="402"/>
    </row>
    <row r="594" spans="1:1" x14ac:dyDescent="0.35">
      <c r="A594" s="402"/>
    </row>
    <row r="595" spans="1:1" x14ac:dyDescent="0.35">
      <c r="A595" s="402"/>
    </row>
    <row r="596" spans="1:1" x14ac:dyDescent="0.35">
      <c r="A596" s="402"/>
    </row>
    <row r="597" spans="1:1" x14ac:dyDescent="0.35">
      <c r="A597" s="402"/>
    </row>
    <row r="598" spans="1:1" x14ac:dyDescent="0.35">
      <c r="A598" s="402"/>
    </row>
    <row r="599" spans="1:1" x14ac:dyDescent="0.35">
      <c r="A599" s="402"/>
    </row>
    <row r="600" spans="1:1" x14ac:dyDescent="0.35">
      <c r="A600" s="402"/>
    </row>
    <row r="601" spans="1:1" x14ac:dyDescent="0.35">
      <c r="A601" s="402"/>
    </row>
    <row r="602" spans="1:1" x14ac:dyDescent="0.35">
      <c r="A602" s="402"/>
    </row>
    <row r="603" spans="1:1" x14ac:dyDescent="0.35">
      <c r="A603" s="402"/>
    </row>
    <row r="604" spans="1:1" x14ac:dyDescent="0.35">
      <c r="A604" s="402"/>
    </row>
    <row r="605" spans="1:1" x14ac:dyDescent="0.35">
      <c r="A605" s="402"/>
    </row>
    <row r="606" spans="1:1" x14ac:dyDescent="0.35">
      <c r="A606" s="402"/>
    </row>
    <row r="607" spans="1:1" x14ac:dyDescent="0.35">
      <c r="A607" s="402"/>
    </row>
    <row r="608" spans="1:1" x14ac:dyDescent="0.35">
      <c r="A608" s="402"/>
    </row>
    <row r="609" spans="1:1" x14ac:dyDescent="0.35">
      <c r="A609" s="402"/>
    </row>
    <row r="610" spans="1:1" x14ac:dyDescent="0.35">
      <c r="A610" s="402"/>
    </row>
    <row r="611" spans="1:1" x14ac:dyDescent="0.35">
      <c r="A611" s="402"/>
    </row>
    <row r="612" spans="1:1" x14ac:dyDescent="0.35">
      <c r="A612" s="402"/>
    </row>
    <row r="613" spans="1:1" x14ac:dyDescent="0.35">
      <c r="A613" s="402"/>
    </row>
    <row r="614" spans="1:1" x14ac:dyDescent="0.35">
      <c r="A614" s="402"/>
    </row>
    <row r="615" spans="1:1" x14ac:dyDescent="0.35">
      <c r="A615" s="402"/>
    </row>
    <row r="616" spans="1:1" x14ac:dyDescent="0.35">
      <c r="A616" s="402"/>
    </row>
    <row r="617" spans="1:1" x14ac:dyDescent="0.35">
      <c r="A617" s="402"/>
    </row>
    <row r="618" spans="1:1" x14ac:dyDescent="0.35">
      <c r="A618" s="402"/>
    </row>
    <row r="619" spans="1:1" x14ac:dyDescent="0.35">
      <c r="A619" s="402"/>
    </row>
    <row r="620" spans="1:1" x14ac:dyDescent="0.35">
      <c r="A620" s="402"/>
    </row>
    <row r="621" spans="1:1" x14ac:dyDescent="0.35">
      <c r="A621" s="402"/>
    </row>
    <row r="622" spans="1:1" x14ac:dyDescent="0.35">
      <c r="A622" s="402"/>
    </row>
    <row r="623" spans="1:1" x14ac:dyDescent="0.35">
      <c r="A623" s="402"/>
    </row>
    <row r="624" spans="1:1" x14ac:dyDescent="0.35">
      <c r="A624" s="402"/>
    </row>
    <row r="625" spans="1:1" x14ac:dyDescent="0.35">
      <c r="A625" s="402"/>
    </row>
    <row r="626" spans="1:1" x14ac:dyDescent="0.35">
      <c r="A626" s="402"/>
    </row>
    <row r="627" spans="1:1" x14ac:dyDescent="0.35">
      <c r="A627" s="402"/>
    </row>
    <row r="628" spans="1:1" x14ac:dyDescent="0.35">
      <c r="A628" s="402"/>
    </row>
    <row r="629" spans="1:1" x14ac:dyDescent="0.35">
      <c r="A629" s="402"/>
    </row>
    <row r="630" spans="1:1" x14ac:dyDescent="0.35">
      <c r="A630" s="402"/>
    </row>
    <row r="631" spans="1:1" x14ac:dyDescent="0.35">
      <c r="A631" s="402"/>
    </row>
    <row r="632" spans="1:1" x14ac:dyDescent="0.35">
      <c r="A632" s="402"/>
    </row>
    <row r="633" spans="1:1" x14ac:dyDescent="0.35">
      <c r="A633" s="402"/>
    </row>
    <row r="634" spans="1:1" x14ac:dyDescent="0.35">
      <c r="A634" s="402"/>
    </row>
    <row r="635" spans="1:1" x14ac:dyDescent="0.35">
      <c r="A635" s="402"/>
    </row>
    <row r="636" spans="1:1" x14ac:dyDescent="0.35">
      <c r="A636" s="402"/>
    </row>
    <row r="637" spans="1:1" x14ac:dyDescent="0.35">
      <c r="A637" s="402"/>
    </row>
    <row r="638" spans="1:1" x14ac:dyDescent="0.35">
      <c r="A638" s="402"/>
    </row>
    <row r="639" spans="1:1" x14ac:dyDescent="0.35">
      <c r="A639" s="402"/>
    </row>
    <row r="640" spans="1:1" x14ac:dyDescent="0.35">
      <c r="A640" s="402"/>
    </row>
    <row r="641" spans="1:1" x14ac:dyDescent="0.35">
      <c r="A641" s="402"/>
    </row>
    <row r="642" spans="1:1" x14ac:dyDescent="0.35">
      <c r="A642" s="402"/>
    </row>
    <row r="643" spans="1:1" x14ac:dyDescent="0.35">
      <c r="A643" s="402"/>
    </row>
    <row r="644" spans="1:1" x14ac:dyDescent="0.35">
      <c r="A644" s="402"/>
    </row>
    <row r="645" spans="1:1" x14ac:dyDescent="0.35">
      <c r="A645" s="402"/>
    </row>
    <row r="646" spans="1:1" x14ac:dyDescent="0.35">
      <c r="A646" s="402"/>
    </row>
    <row r="647" spans="1:1" x14ac:dyDescent="0.35">
      <c r="A647" s="402"/>
    </row>
    <row r="648" spans="1:1" x14ac:dyDescent="0.35">
      <c r="A648" s="402"/>
    </row>
    <row r="649" spans="1:1" x14ac:dyDescent="0.35">
      <c r="A649" s="402"/>
    </row>
    <row r="650" spans="1:1" x14ac:dyDescent="0.35">
      <c r="A650" s="402"/>
    </row>
    <row r="651" spans="1:1" x14ac:dyDescent="0.35">
      <c r="A651" s="402"/>
    </row>
    <row r="652" spans="1:1" x14ac:dyDescent="0.35">
      <c r="A652" s="402"/>
    </row>
    <row r="653" spans="1:1" x14ac:dyDescent="0.35">
      <c r="A653" s="402"/>
    </row>
    <row r="654" spans="1:1" x14ac:dyDescent="0.35">
      <c r="A654" s="402"/>
    </row>
    <row r="655" spans="1:1" x14ac:dyDescent="0.35">
      <c r="A655" s="402"/>
    </row>
    <row r="656" spans="1:1" x14ac:dyDescent="0.35">
      <c r="A656" s="402"/>
    </row>
    <row r="657" spans="1:1" x14ac:dyDescent="0.35">
      <c r="A657" s="402"/>
    </row>
    <row r="658" spans="1:1" x14ac:dyDescent="0.35">
      <c r="A658" s="402"/>
    </row>
    <row r="659" spans="1:1" x14ac:dyDescent="0.35">
      <c r="A659" s="402"/>
    </row>
    <row r="660" spans="1:1" x14ac:dyDescent="0.35">
      <c r="A660" s="402"/>
    </row>
    <row r="661" spans="1:1" x14ac:dyDescent="0.35">
      <c r="A661" s="402"/>
    </row>
    <row r="662" spans="1:1" x14ac:dyDescent="0.35">
      <c r="A662" s="402"/>
    </row>
    <row r="663" spans="1:1" x14ac:dyDescent="0.35">
      <c r="A663" s="402"/>
    </row>
    <row r="664" spans="1:1" x14ac:dyDescent="0.35">
      <c r="A664" s="402"/>
    </row>
    <row r="665" spans="1:1" x14ac:dyDescent="0.35">
      <c r="A665" s="402"/>
    </row>
    <row r="666" spans="1:1" x14ac:dyDescent="0.35">
      <c r="A666" s="402"/>
    </row>
    <row r="667" spans="1:1" x14ac:dyDescent="0.35">
      <c r="A667" s="402"/>
    </row>
    <row r="668" spans="1:1" x14ac:dyDescent="0.35">
      <c r="A668" s="402"/>
    </row>
    <row r="669" spans="1:1" x14ac:dyDescent="0.35">
      <c r="A669" s="402"/>
    </row>
    <row r="670" spans="1:1" x14ac:dyDescent="0.35">
      <c r="A670" s="402"/>
    </row>
    <row r="671" spans="1:1" x14ac:dyDescent="0.35">
      <c r="A671" s="402"/>
    </row>
    <row r="672" spans="1:1" x14ac:dyDescent="0.35">
      <c r="A672" s="402"/>
    </row>
    <row r="673" spans="1:1" x14ac:dyDescent="0.35">
      <c r="A673" s="402"/>
    </row>
    <row r="674" spans="1:1" x14ac:dyDescent="0.35">
      <c r="A674" s="402"/>
    </row>
    <row r="675" spans="1:1" x14ac:dyDescent="0.35">
      <c r="A675" s="402"/>
    </row>
    <row r="676" spans="1:1" x14ac:dyDescent="0.35">
      <c r="A676" s="402"/>
    </row>
    <row r="677" spans="1:1" x14ac:dyDescent="0.35">
      <c r="A677" s="402"/>
    </row>
    <row r="678" spans="1:1" x14ac:dyDescent="0.35">
      <c r="A678" s="402"/>
    </row>
    <row r="679" spans="1:1" x14ac:dyDescent="0.35">
      <c r="A679" s="402"/>
    </row>
    <row r="680" spans="1:1" x14ac:dyDescent="0.35">
      <c r="A680" s="402"/>
    </row>
    <row r="681" spans="1:1" x14ac:dyDescent="0.35">
      <c r="A681" s="402"/>
    </row>
    <row r="682" spans="1:1" x14ac:dyDescent="0.35">
      <c r="A682" s="402"/>
    </row>
    <row r="683" spans="1:1" x14ac:dyDescent="0.35">
      <c r="A683" s="402"/>
    </row>
    <row r="684" spans="1:1" x14ac:dyDescent="0.35">
      <c r="A684" s="402"/>
    </row>
    <row r="685" spans="1:1" x14ac:dyDescent="0.35">
      <c r="A685" s="402"/>
    </row>
    <row r="686" spans="1:1" x14ac:dyDescent="0.35">
      <c r="A686" s="402"/>
    </row>
    <row r="687" spans="1:1" x14ac:dyDescent="0.35">
      <c r="A687" s="402"/>
    </row>
    <row r="688" spans="1:1" x14ac:dyDescent="0.35">
      <c r="A688" s="402"/>
    </row>
    <row r="689" spans="1:1" x14ac:dyDescent="0.35">
      <c r="A689" s="402"/>
    </row>
    <row r="690" spans="1:1" x14ac:dyDescent="0.35">
      <c r="A690" s="402"/>
    </row>
    <row r="691" spans="1:1" x14ac:dyDescent="0.35">
      <c r="A691" s="402"/>
    </row>
    <row r="692" spans="1:1" x14ac:dyDescent="0.35">
      <c r="A692" s="402"/>
    </row>
    <row r="693" spans="1:1" x14ac:dyDescent="0.35">
      <c r="A693" s="402"/>
    </row>
    <row r="694" spans="1:1" x14ac:dyDescent="0.35">
      <c r="A694" s="402"/>
    </row>
    <row r="695" spans="1:1" x14ac:dyDescent="0.35">
      <c r="A695" s="402"/>
    </row>
    <row r="696" spans="1:1" x14ac:dyDescent="0.35">
      <c r="A696" s="402"/>
    </row>
    <row r="697" spans="1:1" x14ac:dyDescent="0.35">
      <c r="A697" s="402"/>
    </row>
    <row r="698" spans="1:1" x14ac:dyDescent="0.35">
      <c r="A698" s="402"/>
    </row>
    <row r="699" spans="1:1" x14ac:dyDescent="0.35">
      <c r="A699" s="402"/>
    </row>
    <row r="700" spans="1:1" x14ac:dyDescent="0.35">
      <c r="A700" s="402"/>
    </row>
    <row r="701" spans="1:1" x14ac:dyDescent="0.35">
      <c r="A701" s="402"/>
    </row>
    <row r="702" spans="1:1" x14ac:dyDescent="0.35">
      <c r="A702" s="402"/>
    </row>
    <row r="703" spans="1:1" x14ac:dyDescent="0.35">
      <c r="A703" s="402"/>
    </row>
    <row r="704" spans="1:1" x14ac:dyDescent="0.35">
      <c r="A704" s="402"/>
    </row>
    <row r="705" spans="1:1" x14ac:dyDescent="0.35">
      <c r="A705" s="402"/>
    </row>
    <row r="706" spans="1:1" x14ac:dyDescent="0.35">
      <c r="A706" s="402"/>
    </row>
    <row r="707" spans="1:1" x14ac:dyDescent="0.35">
      <c r="A707" s="402"/>
    </row>
    <row r="708" spans="1:1" x14ac:dyDescent="0.35">
      <c r="A708" s="402"/>
    </row>
    <row r="709" spans="1:1" x14ac:dyDescent="0.35">
      <c r="A709" s="402"/>
    </row>
    <row r="710" spans="1:1" x14ac:dyDescent="0.35">
      <c r="A710" s="402"/>
    </row>
    <row r="711" spans="1:1" x14ac:dyDescent="0.35">
      <c r="A711" s="402"/>
    </row>
    <row r="712" spans="1:1" x14ac:dyDescent="0.35">
      <c r="A712" s="402"/>
    </row>
    <row r="713" spans="1:1" x14ac:dyDescent="0.35">
      <c r="A713" s="402"/>
    </row>
    <row r="714" spans="1:1" x14ac:dyDescent="0.35">
      <c r="A714" s="402"/>
    </row>
    <row r="715" spans="1:1" x14ac:dyDescent="0.35">
      <c r="A715" s="402"/>
    </row>
    <row r="716" spans="1:1" x14ac:dyDescent="0.35">
      <c r="A716" s="402"/>
    </row>
    <row r="717" spans="1:1" x14ac:dyDescent="0.35">
      <c r="A717" s="402"/>
    </row>
    <row r="718" spans="1:1" x14ac:dyDescent="0.35">
      <c r="A718" s="402"/>
    </row>
    <row r="719" spans="1:1" x14ac:dyDescent="0.35">
      <c r="A719" s="402"/>
    </row>
    <row r="720" spans="1:1" x14ac:dyDescent="0.35">
      <c r="A720" s="402"/>
    </row>
    <row r="721" spans="1:1" x14ac:dyDescent="0.35">
      <c r="A721" s="402"/>
    </row>
    <row r="722" spans="1:1" x14ac:dyDescent="0.35">
      <c r="A722" s="402"/>
    </row>
    <row r="723" spans="1:1" x14ac:dyDescent="0.35">
      <c r="A723" s="402"/>
    </row>
    <row r="724" spans="1:1" x14ac:dyDescent="0.35">
      <c r="A724" s="402"/>
    </row>
    <row r="725" spans="1:1" x14ac:dyDescent="0.35">
      <c r="A725" s="402"/>
    </row>
    <row r="726" spans="1:1" x14ac:dyDescent="0.35">
      <c r="A726" s="402"/>
    </row>
    <row r="727" spans="1:1" x14ac:dyDescent="0.35">
      <c r="A727" s="402"/>
    </row>
    <row r="728" spans="1:1" x14ac:dyDescent="0.35">
      <c r="A728" s="402"/>
    </row>
    <row r="729" spans="1:1" x14ac:dyDescent="0.35">
      <c r="A729" s="402"/>
    </row>
    <row r="730" spans="1:1" x14ac:dyDescent="0.35">
      <c r="A730" s="402"/>
    </row>
    <row r="731" spans="1:1" x14ac:dyDescent="0.35">
      <c r="A731" s="402"/>
    </row>
    <row r="732" spans="1:1" x14ac:dyDescent="0.35">
      <c r="A732" s="402"/>
    </row>
    <row r="733" spans="1:1" x14ac:dyDescent="0.35">
      <c r="A733" s="402"/>
    </row>
    <row r="734" spans="1:1" x14ac:dyDescent="0.35">
      <c r="A734" s="402"/>
    </row>
    <row r="735" spans="1:1" x14ac:dyDescent="0.35">
      <c r="A735" s="402"/>
    </row>
    <row r="736" spans="1:1" x14ac:dyDescent="0.35">
      <c r="A736" s="402"/>
    </row>
    <row r="737" spans="1:1" x14ac:dyDescent="0.35">
      <c r="A737" s="402"/>
    </row>
    <row r="738" spans="1:1" x14ac:dyDescent="0.35">
      <c r="A738" s="402"/>
    </row>
    <row r="739" spans="1:1" x14ac:dyDescent="0.35">
      <c r="A739" s="402"/>
    </row>
    <row r="740" spans="1:1" x14ac:dyDescent="0.35">
      <c r="A740" s="402"/>
    </row>
    <row r="741" spans="1:1" x14ac:dyDescent="0.35">
      <c r="A741" s="402"/>
    </row>
    <row r="742" spans="1:1" x14ac:dyDescent="0.35">
      <c r="A742" s="402"/>
    </row>
    <row r="743" spans="1:1" x14ac:dyDescent="0.35">
      <c r="A743" s="402"/>
    </row>
    <row r="744" spans="1:1" x14ac:dyDescent="0.35">
      <c r="A744" s="402"/>
    </row>
    <row r="745" spans="1:1" x14ac:dyDescent="0.35">
      <c r="A745" s="402"/>
    </row>
    <row r="746" spans="1:1" x14ac:dyDescent="0.35">
      <c r="A746" s="402"/>
    </row>
    <row r="747" spans="1:1" x14ac:dyDescent="0.35">
      <c r="A747" s="402"/>
    </row>
    <row r="748" spans="1:1" x14ac:dyDescent="0.35">
      <c r="A748" s="402"/>
    </row>
    <row r="749" spans="1:1" x14ac:dyDescent="0.35">
      <c r="A749" s="402"/>
    </row>
    <row r="750" spans="1:1" x14ac:dyDescent="0.35">
      <c r="A750" s="402"/>
    </row>
    <row r="751" spans="1:1" x14ac:dyDescent="0.35">
      <c r="A751" s="402"/>
    </row>
    <row r="752" spans="1:1" x14ac:dyDescent="0.35">
      <c r="A752" s="402"/>
    </row>
    <row r="753" spans="1:1" x14ac:dyDescent="0.35">
      <c r="A753" s="402"/>
    </row>
    <row r="754" spans="1:1" x14ac:dyDescent="0.35">
      <c r="A754" s="402"/>
    </row>
    <row r="755" spans="1:1" x14ac:dyDescent="0.35">
      <c r="A755" s="402"/>
    </row>
    <row r="756" spans="1:1" x14ac:dyDescent="0.35">
      <c r="A756" s="402"/>
    </row>
    <row r="757" spans="1:1" x14ac:dyDescent="0.35">
      <c r="A757" s="402"/>
    </row>
    <row r="758" spans="1:1" x14ac:dyDescent="0.35">
      <c r="A758" s="402"/>
    </row>
    <row r="759" spans="1:1" x14ac:dyDescent="0.35">
      <c r="A759" s="402"/>
    </row>
    <row r="760" spans="1:1" x14ac:dyDescent="0.35">
      <c r="A760" s="402"/>
    </row>
    <row r="761" spans="1:1" x14ac:dyDescent="0.35">
      <c r="A761" s="402"/>
    </row>
    <row r="762" spans="1:1" x14ac:dyDescent="0.35">
      <c r="A762" s="402"/>
    </row>
    <row r="763" spans="1:1" x14ac:dyDescent="0.35">
      <c r="A763" s="402"/>
    </row>
    <row r="764" spans="1:1" x14ac:dyDescent="0.35">
      <c r="A764" s="402"/>
    </row>
    <row r="765" spans="1:1" x14ac:dyDescent="0.35">
      <c r="A765" s="402"/>
    </row>
    <row r="766" spans="1:1" x14ac:dyDescent="0.35">
      <c r="A766" s="402"/>
    </row>
    <row r="767" spans="1:1" x14ac:dyDescent="0.35">
      <c r="A767" s="402"/>
    </row>
    <row r="768" spans="1:1" x14ac:dyDescent="0.35">
      <c r="A768" s="402"/>
    </row>
    <row r="769" spans="1:1" x14ac:dyDescent="0.35">
      <c r="A769" s="402"/>
    </row>
    <row r="770" spans="1:1" x14ac:dyDescent="0.35">
      <c r="A770" s="402"/>
    </row>
    <row r="771" spans="1:1" x14ac:dyDescent="0.35">
      <c r="A771" s="402"/>
    </row>
  </sheetData>
  <sheetProtection algorithmName="SHA-512" hashValue="iPe78L1BaJJZGKhq7typKKQgL7EF/mELcWg7QB2C/mlLw5fIb8O242vjOiEuTvzbCjcowzvYw/el9LPWBNA1NA==" saltValue="P7eyH9YJz5vGgRNa4oXXiw==" spinCount="100000" sheet="1" objects="1" scenarios="1"/>
  <autoFilter ref="B1:F771" xr:uid="{00000000-0009-0000-0000-000008000000}"/>
  <pageMargins left="0.70866141732283472" right="0.70866141732283472" top="0.74803149606299213" bottom="0.74803149606299213" header="0.31496062992125984" footer="0.31496062992125984"/>
  <pageSetup paperSize="9" scale="76" orientation="portrait" r:id="rId1"/>
  <headerFooter>
    <oddFooter>&amp;L&amp;F&amp;CPage &amp;P of &amp;N &amp;R&amp;A</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5" tint="-0.249977111117893"/>
  </sheetPr>
  <dimension ref="B1:AY136"/>
  <sheetViews>
    <sheetView showGridLines="0" zoomScaleNormal="100" workbookViewId="0">
      <pane xSplit="6" ySplit="7" topLeftCell="G8" activePane="bottomRight" state="frozen"/>
      <selection pane="topRight" activeCell="H1" sqref="H1"/>
      <selection pane="bottomLeft" activeCell="A12" sqref="A12"/>
      <selection pane="bottomRight" activeCell="L21" sqref="L21:Q23"/>
    </sheetView>
  </sheetViews>
  <sheetFormatPr defaultColWidth="9.1796875" defaultRowHeight="14.5" x14ac:dyDescent="0.35"/>
  <cols>
    <col min="1" max="1" width="4.7265625" style="40" customWidth="1"/>
    <col min="2" max="2" width="18" style="40" customWidth="1"/>
    <col min="3" max="3" width="18.1796875" style="40" hidden="1" customWidth="1"/>
    <col min="4" max="4" width="44" style="40" customWidth="1"/>
    <col min="5" max="5" width="12.453125" style="40" hidden="1" customWidth="1"/>
    <col min="6" max="6" width="17.453125" style="40" customWidth="1"/>
    <col min="7" max="7" width="15.54296875" style="56" customWidth="1"/>
    <col min="8" max="10" width="3.54296875" style="57" customWidth="1"/>
    <col min="11" max="11" width="10.54296875" style="40" customWidth="1"/>
    <col min="12" max="12" width="15.81640625" style="40" customWidth="1"/>
    <col min="13" max="15" width="3.54296875" style="40" customWidth="1"/>
    <col min="16" max="16" width="10.54296875" style="40" customWidth="1"/>
    <col min="17" max="17" width="15.7265625" style="40" customWidth="1"/>
    <col min="18" max="20" width="3.54296875" style="40" customWidth="1"/>
    <col min="21" max="21" width="10.54296875" style="40" customWidth="1"/>
    <col min="22" max="22" width="15.7265625" style="40" customWidth="1"/>
    <col min="23" max="25" width="3.54296875" style="40" customWidth="1"/>
    <col min="26" max="26" width="10.54296875" style="40" customWidth="1"/>
    <col min="27" max="27" width="15.7265625" style="40" customWidth="1"/>
    <col min="28" max="30" width="3.54296875" style="40" customWidth="1"/>
    <col min="31" max="31" width="10.54296875" style="40" customWidth="1"/>
    <col min="32" max="32" width="15.7265625" style="40" customWidth="1"/>
    <col min="33" max="35" width="3.54296875" style="40" customWidth="1"/>
    <col min="36" max="36" width="10.54296875" style="40" customWidth="1"/>
    <col min="37" max="37" width="15.7265625" style="40" customWidth="1"/>
    <col min="38" max="40" width="3.54296875" style="40" customWidth="1"/>
    <col min="41" max="41" width="10.54296875" style="40" customWidth="1"/>
    <col min="42" max="42" width="15.7265625" style="40" customWidth="1"/>
    <col min="43" max="45" width="3.54296875" style="40" customWidth="1"/>
    <col min="46" max="46" width="10.54296875" style="40" customWidth="1"/>
    <col min="47" max="47" width="15.7265625" style="40" customWidth="1"/>
    <col min="48" max="50" width="3.54296875" style="40" customWidth="1"/>
    <col min="51" max="51" width="10.54296875" style="40" customWidth="1"/>
    <col min="52" max="52" width="5.7265625" style="40" customWidth="1"/>
    <col min="53" max="53" width="15.7265625" style="40" customWidth="1"/>
    <col min="54" max="54" width="5.7265625" style="40" customWidth="1"/>
    <col min="55" max="55" width="15.7265625" style="40" customWidth="1"/>
    <col min="56" max="56" width="5.7265625" style="40" customWidth="1"/>
    <col min="57" max="57" width="15.7265625" style="40" customWidth="1"/>
    <col min="58" max="58" width="5.7265625" style="40" customWidth="1"/>
    <col min="59" max="59" width="15.7265625" style="40" customWidth="1"/>
    <col min="60" max="60" width="5.7265625" style="40" customWidth="1"/>
    <col min="61" max="61" width="15.7265625" style="40" customWidth="1"/>
    <col min="62" max="62" width="5.7265625" style="40" customWidth="1"/>
    <col min="63" max="63" width="15.7265625" style="40" customWidth="1"/>
    <col min="64" max="64" width="5.7265625" style="40" customWidth="1"/>
    <col min="65" max="65" width="15.7265625" style="40" customWidth="1"/>
    <col min="66" max="66" width="5.7265625" style="40" customWidth="1"/>
    <col min="67" max="67" width="15.7265625" style="40" customWidth="1"/>
    <col min="68" max="68" width="5.7265625" style="40" customWidth="1"/>
    <col min="69" max="69" width="15.7265625" style="40" customWidth="1"/>
    <col min="70" max="70" width="5.7265625" style="40" customWidth="1"/>
    <col min="71" max="71" width="15.7265625" style="40" customWidth="1"/>
    <col min="72" max="72" width="5.7265625" style="40" customWidth="1"/>
    <col min="73" max="73" width="15.7265625" style="40" customWidth="1"/>
    <col min="74" max="74" width="5.7265625" style="40" customWidth="1"/>
    <col min="75" max="75" width="15.7265625" style="40" customWidth="1"/>
    <col min="76" max="76" width="5.7265625" style="40" customWidth="1"/>
    <col min="77" max="77" width="15.7265625" style="40" customWidth="1"/>
    <col min="78" max="78" width="5.7265625" style="40" customWidth="1"/>
    <col min="79" max="16384" width="9.1796875" style="40"/>
  </cols>
  <sheetData>
    <row r="1" spans="2:51" s="28" customFormat="1" ht="14" x14ac:dyDescent="0.3">
      <c r="G1" s="29"/>
      <c r="H1" s="30"/>
      <c r="I1" s="30"/>
      <c r="J1" s="30"/>
    </row>
    <row r="2" spans="2:51" s="28" customFormat="1" thickBot="1" x14ac:dyDescent="0.35">
      <c r="G2" s="551" t="s">
        <v>590</v>
      </c>
      <c r="H2" s="552"/>
      <c r="I2" s="552"/>
      <c r="J2" s="552"/>
      <c r="K2" s="552"/>
      <c r="L2" s="552"/>
      <c r="M2" s="552"/>
      <c r="N2" s="552"/>
      <c r="O2" s="552"/>
      <c r="P2" s="552"/>
      <c r="Q2" s="552"/>
      <c r="R2" s="552"/>
      <c r="S2" s="552"/>
      <c r="T2" s="552"/>
      <c r="U2" s="552"/>
      <c r="V2" s="552"/>
      <c r="W2" s="552"/>
      <c r="X2" s="552"/>
      <c r="Y2" s="552"/>
      <c r="Z2" s="552"/>
      <c r="AA2" s="552"/>
      <c r="AB2" s="552"/>
      <c r="AC2" s="552"/>
      <c r="AD2" s="552"/>
      <c r="AE2" s="552"/>
      <c r="AF2" s="552"/>
      <c r="AG2" s="552"/>
      <c r="AH2" s="552"/>
      <c r="AI2" s="552"/>
      <c r="AJ2" s="552"/>
      <c r="AK2" s="552"/>
      <c r="AL2" s="552"/>
      <c r="AM2" s="552"/>
      <c r="AN2" s="552"/>
      <c r="AO2" s="552"/>
      <c r="AP2" s="552"/>
      <c r="AQ2" s="552"/>
      <c r="AR2" s="552"/>
      <c r="AS2" s="552"/>
      <c r="AT2" s="552"/>
      <c r="AU2" s="552"/>
      <c r="AV2" s="552"/>
      <c r="AW2" s="552"/>
      <c r="AX2" s="552"/>
      <c r="AY2" s="552"/>
    </row>
    <row r="3" spans="2:51" s="28" customFormat="1" ht="21" thickBot="1" x14ac:dyDescent="0.5">
      <c r="B3" s="405" t="s">
        <v>1</v>
      </c>
      <c r="C3" s="406"/>
      <c r="D3" s="407" t="str">
        <f>IF('GETTING STARTED'!E9="","",'GETTING STARTED'!E9)</f>
        <v/>
      </c>
      <c r="E3" s="408"/>
      <c r="F3" s="409" t="str">
        <f>IF('GETTING STARTED'!G9="","",'GETTING STARTED'!G9)</f>
        <v/>
      </c>
      <c r="G3" s="552"/>
      <c r="H3" s="552"/>
      <c r="I3" s="552"/>
      <c r="J3" s="552"/>
      <c r="K3" s="552"/>
      <c r="L3" s="552"/>
      <c r="M3" s="552"/>
      <c r="N3" s="552"/>
      <c r="O3" s="552"/>
      <c r="P3" s="552"/>
      <c r="Q3" s="552"/>
      <c r="R3" s="552"/>
      <c r="S3" s="552"/>
      <c r="T3" s="552"/>
      <c r="U3" s="552"/>
      <c r="V3" s="552"/>
      <c r="W3" s="552"/>
      <c r="X3" s="552"/>
      <c r="Y3" s="552"/>
      <c r="Z3" s="552"/>
      <c r="AA3" s="552"/>
      <c r="AB3" s="552"/>
      <c r="AC3" s="552"/>
      <c r="AD3" s="552"/>
      <c r="AE3" s="552"/>
      <c r="AF3" s="552"/>
      <c r="AG3" s="552"/>
      <c r="AH3" s="552"/>
      <c r="AI3" s="552"/>
      <c r="AJ3" s="552"/>
      <c r="AK3" s="552"/>
      <c r="AL3" s="552"/>
      <c r="AM3" s="552"/>
      <c r="AN3" s="552"/>
      <c r="AO3" s="552"/>
      <c r="AP3" s="552"/>
      <c r="AQ3" s="552"/>
      <c r="AR3" s="552"/>
      <c r="AS3" s="552"/>
      <c r="AT3" s="552"/>
      <c r="AU3" s="552"/>
      <c r="AV3" s="552"/>
      <c r="AW3" s="552"/>
      <c r="AX3" s="552"/>
      <c r="AY3" s="552"/>
    </row>
    <row r="4" spans="2:51" s="28" customFormat="1" ht="20.5" thickBot="1" x14ac:dyDescent="0.35">
      <c r="B4" s="405" t="s">
        <v>228</v>
      </c>
      <c r="C4" s="406"/>
      <c r="D4" s="407">
        <f>IF('GETTING STARTED'!E10="","",'GETTING STARTED'!E10)</f>
        <v>2024</v>
      </c>
      <c r="E4" s="410"/>
      <c r="F4" s="411"/>
      <c r="G4" s="552"/>
      <c r="H4" s="552"/>
      <c r="I4" s="552"/>
      <c r="J4" s="552"/>
      <c r="K4" s="552"/>
      <c r="L4" s="552"/>
      <c r="M4" s="552"/>
      <c r="N4" s="552"/>
      <c r="O4" s="552"/>
      <c r="P4" s="552"/>
      <c r="Q4" s="552"/>
      <c r="R4" s="552"/>
      <c r="S4" s="552"/>
      <c r="T4" s="552"/>
      <c r="U4" s="552"/>
      <c r="V4" s="552"/>
      <c r="W4" s="552"/>
      <c r="X4" s="552"/>
      <c r="Y4" s="552"/>
      <c r="Z4" s="552"/>
      <c r="AA4" s="552"/>
      <c r="AB4" s="552"/>
      <c r="AC4" s="552"/>
      <c r="AD4" s="552"/>
      <c r="AE4" s="552"/>
      <c r="AF4" s="552"/>
      <c r="AG4" s="552"/>
      <c r="AH4" s="552"/>
      <c r="AI4" s="552"/>
      <c r="AJ4" s="552"/>
      <c r="AK4" s="552"/>
      <c r="AL4" s="552"/>
      <c r="AM4" s="552"/>
      <c r="AN4" s="552"/>
      <c r="AO4" s="552"/>
      <c r="AP4" s="552"/>
      <c r="AQ4" s="552"/>
      <c r="AR4" s="552"/>
      <c r="AS4" s="552"/>
      <c r="AT4" s="552"/>
      <c r="AU4" s="552"/>
      <c r="AV4" s="552"/>
      <c r="AW4" s="552"/>
      <c r="AX4" s="552"/>
      <c r="AY4" s="552"/>
    </row>
    <row r="5" spans="2:51" ht="26.15" customHeight="1" thickBot="1" x14ac:dyDescent="0.4">
      <c r="B5" s="412" t="s">
        <v>229</v>
      </c>
      <c r="C5" s="413"/>
      <c r="D5" s="414" t="s">
        <v>230</v>
      </c>
      <c r="E5" s="406"/>
      <c r="F5" s="415"/>
      <c r="G5" s="537" t="s">
        <v>148</v>
      </c>
      <c r="H5" s="538"/>
      <c r="I5" s="538"/>
      <c r="J5" s="538"/>
      <c r="K5" s="539"/>
      <c r="L5" s="537" t="s">
        <v>153</v>
      </c>
      <c r="M5" s="538"/>
      <c r="N5" s="538"/>
      <c r="O5" s="538"/>
      <c r="P5" s="539"/>
      <c r="Q5" s="537" t="s">
        <v>154</v>
      </c>
      <c r="R5" s="538"/>
      <c r="S5" s="538"/>
      <c r="T5" s="538"/>
      <c r="U5" s="539"/>
      <c r="V5" s="537" t="s">
        <v>149</v>
      </c>
      <c r="W5" s="538"/>
      <c r="X5" s="538"/>
      <c r="Y5" s="538"/>
      <c r="Z5" s="539"/>
      <c r="AA5" s="537" t="s">
        <v>280</v>
      </c>
      <c r="AB5" s="538"/>
      <c r="AC5" s="538"/>
      <c r="AD5" s="538"/>
      <c r="AE5" s="539"/>
      <c r="AF5" s="537" t="s">
        <v>155</v>
      </c>
      <c r="AG5" s="538"/>
      <c r="AH5" s="538"/>
      <c r="AI5" s="538"/>
      <c r="AJ5" s="539"/>
      <c r="AK5" s="537" t="s">
        <v>156</v>
      </c>
      <c r="AL5" s="538"/>
      <c r="AM5" s="538"/>
      <c r="AN5" s="538"/>
      <c r="AO5" s="539"/>
      <c r="AP5" s="537" t="s">
        <v>282</v>
      </c>
      <c r="AQ5" s="538"/>
      <c r="AR5" s="538"/>
      <c r="AS5" s="538"/>
      <c r="AT5" s="539"/>
      <c r="AU5" s="537" t="s">
        <v>150</v>
      </c>
      <c r="AV5" s="538"/>
      <c r="AW5" s="538"/>
      <c r="AX5" s="538"/>
      <c r="AY5" s="539"/>
    </row>
    <row r="6" spans="2:51" s="143" customFormat="1" ht="58" hidden="1" customHeight="1" thickBot="1" x14ac:dyDescent="0.4">
      <c r="B6" s="144"/>
      <c r="C6" s="145"/>
      <c r="D6" s="146"/>
      <c r="E6" s="147"/>
      <c r="F6" s="148"/>
      <c r="G6" s="140" t="s">
        <v>148</v>
      </c>
      <c r="H6" s="141"/>
      <c r="I6" s="141"/>
      <c r="J6" s="141"/>
      <c r="K6" s="141"/>
      <c r="L6" s="141" t="s">
        <v>153</v>
      </c>
      <c r="M6" s="141"/>
      <c r="N6" s="141"/>
      <c r="O6" s="141"/>
      <c r="P6" s="141"/>
      <c r="Q6" s="141" t="s">
        <v>154</v>
      </c>
      <c r="R6" s="141"/>
      <c r="S6" s="141"/>
      <c r="T6" s="141"/>
      <c r="U6" s="141"/>
      <c r="V6" s="141" t="s">
        <v>149</v>
      </c>
      <c r="W6" s="141"/>
      <c r="X6" s="141"/>
      <c r="Y6" s="141"/>
      <c r="Z6" s="141"/>
      <c r="AA6" s="141" t="s">
        <v>280</v>
      </c>
      <c r="AB6" s="141"/>
      <c r="AC6" s="141"/>
      <c r="AD6" s="141"/>
      <c r="AE6" s="141"/>
      <c r="AF6" s="141" t="s">
        <v>155</v>
      </c>
      <c r="AG6" s="141"/>
      <c r="AH6" s="141"/>
      <c r="AI6" s="141"/>
      <c r="AJ6" s="141"/>
      <c r="AK6" s="141" t="s">
        <v>156</v>
      </c>
      <c r="AL6" s="141"/>
      <c r="AM6" s="141"/>
      <c r="AN6" s="141"/>
      <c r="AO6" s="141"/>
      <c r="AP6" s="141" t="s">
        <v>282</v>
      </c>
      <c r="AQ6" s="141"/>
      <c r="AR6" s="141"/>
      <c r="AS6" s="141"/>
      <c r="AT6" s="141"/>
      <c r="AU6" s="141" t="s">
        <v>150</v>
      </c>
      <c r="AV6" s="141"/>
      <c r="AW6" s="141"/>
      <c r="AX6" s="141"/>
      <c r="AY6" s="142"/>
    </row>
    <row r="7" spans="2:51" ht="100" thickBot="1" x14ac:dyDescent="0.4">
      <c r="B7" s="546" t="s">
        <v>294</v>
      </c>
      <c r="C7" s="547"/>
      <c r="D7" s="547"/>
      <c r="E7" s="547"/>
      <c r="F7" s="548"/>
      <c r="G7" s="431" t="s">
        <v>241</v>
      </c>
      <c r="H7" s="432" t="s">
        <v>231</v>
      </c>
      <c r="I7" s="432" t="s">
        <v>232</v>
      </c>
      <c r="J7" s="549" t="s">
        <v>279</v>
      </c>
      <c r="K7" s="550"/>
      <c r="L7" s="431" t="s">
        <v>167</v>
      </c>
      <c r="M7" s="432" t="s">
        <v>231</v>
      </c>
      <c r="N7" s="432" t="s">
        <v>232</v>
      </c>
      <c r="O7" s="549" t="s">
        <v>279</v>
      </c>
      <c r="P7" s="550"/>
      <c r="Q7" s="431" t="s">
        <v>239</v>
      </c>
      <c r="R7" s="432" t="s">
        <v>231</v>
      </c>
      <c r="S7" s="432" t="s">
        <v>232</v>
      </c>
      <c r="T7" s="549" t="s">
        <v>279</v>
      </c>
      <c r="U7" s="550"/>
      <c r="V7" s="431" t="s">
        <v>240</v>
      </c>
      <c r="W7" s="432" t="s">
        <v>231</v>
      </c>
      <c r="X7" s="432" t="s">
        <v>232</v>
      </c>
      <c r="Y7" s="549" t="s">
        <v>279</v>
      </c>
      <c r="Z7" s="550"/>
      <c r="AA7" s="431" t="s">
        <v>281</v>
      </c>
      <c r="AB7" s="432" t="s">
        <v>231</v>
      </c>
      <c r="AC7" s="432" t="s">
        <v>232</v>
      </c>
      <c r="AD7" s="549" t="s">
        <v>279</v>
      </c>
      <c r="AE7" s="550"/>
      <c r="AF7" s="431" t="s">
        <v>166</v>
      </c>
      <c r="AG7" s="432" t="s">
        <v>231</v>
      </c>
      <c r="AH7" s="432" t="s">
        <v>232</v>
      </c>
      <c r="AI7" s="549" t="s">
        <v>279</v>
      </c>
      <c r="AJ7" s="550"/>
      <c r="AK7" s="431" t="s">
        <v>165</v>
      </c>
      <c r="AL7" s="432" t="s">
        <v>231</v>
      </c>
      <c r="AM7" s="432" t="s">
        <v>232</v>
      </c>
      <c r="AN7" s="549" t="s">
        <v>279</v>
      </c>
      <c r="AO7" s="550"/>
      <c r="AP7" s="431" t="s">
        <v>283</v>
      </c>
      <c r="AQ7" s="432" t="s">
        <v>231</v>
      </c>
      <c r="AR7" s="432" t="s">
        <v>232</v>
      </c>
      <c r="AS7" s="549" t="s">
        <v>279</v>
      </c>
      <c r="AT7" s="550"/>
      <c r="AU7" s="431" t="s">
        <v>147</v>
      </c>
      <c r="AV7" s="432" t="s">
        <v>231</v>
      </c>
      <c r="AW7" s="432" t="s">
        <v>232</v>
      </c>
      <c r="AX7" s="549" t="s">
        <v>279</v>
      </c>
      <c r="AY7" s="550"/>
    </row>
    <row r="8" spans="2:51" ht="15" customHeight="1" x14ac:dyDescent="0.35">
      <c r="B8" s="540" t="s">
        <v>110</v>
      </c>
      <c r="C8" s="416" t="s">
        <v>110</v>
      </c>
      <c r="D8" s="543" t="s">
        <v>78</v>
      </c>
      <c r="E8" s="417" t="s">
        <v>144</v>
      </c>
      <c r="F8" s="418" t="s">
        <v>151</v>
      </c>
      <c r="G8" s="372"/>
      <c r="H8" s="373"/>
      <c r="I8" s="374"/>
      <c r="J8" s="375"/>
      <c r="K8" s="433" t="str">
        <f>IF(TRIM(J8)="", "", IF(VLOOKUP(J8,'Footnotes list'!$D$9:$E$58,2,FALSE)=0,"",VLOOKUP(J8,'Footnotes list'!$D$9:$E$58,2,FALSE) ) )</f>
        <v/>
      </c>
      <c r="L8" s="372"/>
      <c r="M8" s="373"/>
      <c r="N8" s="374"/>
      <c r="O8" s="375"/>
      <c r="P8" s="433" t="str">
        <f>IF(TRIM(O8)="", "", IF(VLOOKUP(O8,'Footnotes list'!$D$9:$E$58,2,FALSE)=0,"",VLOOKUP(O8,'Footnotes list'!$D$9:$E$58,2,FALSE) ) )</f>
        <v/>
      </c>
      <c r="Q8" s="372"/>
      <c r="R8" s="373"/>
      <c r="S8" s="374"/>
      <c r="T8" s="375"/>
      <c r="U8" s="433" t="str">
        <f>IF(TRIM(T8)="", "", IF(VLOOKUP(T8,'Footnotes list'!$D$9:$E$58,2,FALSE)=0,"",VLOOKUP(T8,'Footnotes list'!$D$9:$E$58,2,FALSE) ) )</f>
        <v/>
      </c>
      <c r="V8" s="372"/>
      <c r="W8" s="373"/>
      <c r="X8" s="374"/>
      <c r="Y8" s="375"/>
      <c r="Z8" s="433" t="str">
        <f>IF(TRIM(Y8)="", "", IF(VLOOKUP(Y8,'Footnotes list'!$D$9:$E$58,2,FALSE)=0,"",VLOOKUP(Y8,'Footnotes list'!$D$9:$E$58,2,FALSE) ) )</f>
        <v/>
      </c>
      <c r="AA8" s="400" t="str">
        <f>IF(AND(TRIM(Q8)="",TRIM(V8)=""),"",Q8+V8)</f>
        <v/>
      </c>
      <c r="AB8" s="373"/>
      <c r="AC8" s="374"/>
      <c r="AD8" s="375"/>
      <c r="AE8" s="433" t="str">
        <f>IF(TRIM(AD8)="", "", IF(VLOOKUP(AD8,'Footnotes list'!$D$9:$E$58,2,FALSE)=0,"",VLOOKUP(AD8,'Footnotes list'!$D$9:$E$58,2,FALSE) ) )</f>
        <v/>
      </c>
      <c r="AF8" s="372"/>
      <c r="AG8" s="373"/>
      <c r="AH8" s="374"/>
      <c r="AI8" s="375"/>
      <c r="AJ8" s="433" t="str">
        <f>IF(TRIM(AI8)="", "", IF(VLOOKUP(AI8,'Footnotes list'!$D$9:$E$58,2,FALSE)=0,"",VLOOKUP(AI8,'Footnotes list'!$D$9:$E$58,2,FALSE) ) )</f>
        <v/>
      </c>
      <c r="AK8" s="372"/>
      <c r="AL8" s="373"/>
      <c r="AM8" s="374"/>
      <c r="AN8" s="375"/>
      <c r="AO8" s="433" t="str">
        <f>IF(TRIM(AN8)="", "", IF(VLOOKUP(AN8,'Footnotes list'!$D$9:$E$58,2,FALSE)=0,"",VLOOKUP(AN8,'Footnotes list'!$D$9:$E$58,2,FALSE) ) )</f>
        <v/>
      </c>
      <c r="AP8" s="400" t="str">
        <f>IF(AND(TRIM(AF8)="",TRIM(AK8)=""),"",AF8+AK8)</f>
        <v/>
      </c>
      <c r="AQ8" s="373"/>
      <c r="AR8" s="374"/>
      <c r="AS8" s="375"/>
      <c r="AT8" s="433" t="str">
        <f>IF(TRIM(AS8)="", "", IF(VLOOKUP(AS8,'Footnotes list'!$D$9:$E$58,2,FALSE)=0,"",VLOOKUP(AS8,'Footnotes list'!$D$9:$E$58,2,FALSE) ) )</f>
        <v/>
      </c>
      <c r="AU8" s="400" t="str">
        <f>IF(AND(TRIM(G8)="",TRIM(L8)="",TRIM(AA8)="",TRIM(AP8)=""),"",SUM(G8,L8,AA8,AP8))</f>
        <v/>
      </c>
      <c r="AV8" s="373"/>
      <c r="AW8" s="374"/>
      <c r="AX8" s="375"/>
      <c r="AY8" s="433" t="str">
        <f>IF(TRIM(AX8)="", "", IF(VLOOKUP(AX8,'Footnotes list'!$D$9:$E$58,2,FALSE)=0,"",VLOOKUP(AX8,'Footnotes list'!$D$9:$E$58,2,FALSE) ) )</f>
        <v/>
      </c>
    </row>
    <row r="9" spans="2:51" ht="15" customHeight="1" x14ac:dyDescent="0.35">
      <c r="B9" s="541"/>
      <c r="C9" s="419"/>
      <c r="D9" s="544"/>
      <c r="E9" s="419"/>
      <c r="F9" s="420" t="s">
        <v>233</v>
      </c>
      <c r="G9" s="434"/>
      <c r="H9" s="435"/>
      <c r="I9" s="435"/>
      <c r="J9" s="435"/>
      <c r="K9" s="436"/>
      <c r="L9" s="434"/>
      <c r="M9" s="435"/>
      <c r="N9" s="435"/>
      <c r="O9" s="435"/>
      <c r="P9" s="436"/>
      <c r="Q9" s="434"/>
      <c r="R9" s="435"/>
      <c r="S9" s="435"/>
      <c r="T9" s="435"/>
      <c r="U9" s="436"/>
      <c r="V9" s="434"/>
      <c r="W9" s="435"/>
      <c r="X9" s="435"/>
      <c r="Y9" s="435"/>
      <c r="Z9" s="436"/>
      <c r="AA9" s="434"/>
      <c r="AB9" s="435"/>
      <c r="AC9" s="435"/>
      <c r="AD9" s="435"/>
      <c r="AE9" s="436"/>
      <c r="AF9" s="434"/>
      <c r="AG9" s="435"/>
      <c r="AH9" s="435"/>
      <c r="AI9" s="435"/>
      <c r="AJ9" s="436"/>
      <c r="AK9" s="434"/>
      <c r="AL9" s="435"/>
      <c r="AM9" s="435"/>
      <c r="AN9" s="435"/>
      <c r="AO9" s="436"/>
      <c r="AP9" s="434"/>
      <c r="AQ9" s="435"/>
      <c r="AR9" s="435"/>
      <c r="AS9" s="435"/>
      <c r="AT9" s="436"/>
      <c r="AU9" s="434"/>
      <c r="AV9" s="435"/>
      <c r="AW9" s="435"/>
      <c r="AX9" s="435"/>
      <c r="AY9" s="436"/>
    </row>
    <row r="10" spans="2:51" s="49" customFormat="1" ht="15" customHeight="1" thickBot="1" x14ac:dyDescent="0.4">
      <c r="B10" s="542"/>
      <c r="C10" s="421" t="s">
        <v>110</v>
      </c>
      <c r="D10" s="545"/>
      <c r="E10" s="422" t="s">
        <v>146</v>
      </c>
      <c r="F10" s="423" t="s">
        <v>234</v>
      </c>
      <c r="G10" s="394" t="str">
        <f>IF(AND(TRIM(G8)="",TRIM(G9)=""),"",G8+G9)</f>
        <v/>
      </c>
      <c r="H10" s="379"/>
      <c r="I10" s="380"/>
      <c r="J10" s="381"/>
      <c r="K10" s="437" t="str">
        <f>IF(TRIM(J10)="", "", IF(VLOOKUP(J10,'Footnotes list'!$D$9:$E$58,2,FALSE)=0,"",VLOOKUP(J10,'Footnotes list'!$D$9:$E$58,2,FALSE) ) )</f>
        <v/>
      </c>
      <c r="L10" s="394" t="str">
        <f>IF(AND(TRIM(L8)="",TRIM(L9)=""),"",L8+L9)</f>
        <v/>
      </c>
      <c r="M10" s="379"/>
      <c r="N10" s="380"/>
      <c r="O10" s="381"/>
      <c r="P10" s="437" t="str">
        <f>IF(TRIM(O10)="", "", IF(VLOOKUP(O10,'Footnotes list'!$D$9:$E$58,2,FALSE)=0,"",VLOOKUP(O10,'Footnotes list'!$D$9:$E$58,2,FALSE) ) )</f>
        <v/>
      </c>
      <c r="Q10" s="394" t="str">
        <f>IF(AND(TRIM(Q8)="",TRIM(Q9)=""),"",Q8+Q9)</f>
        <v/>
      </c>
      <c r="R10" s="379"/>
      <c r="S10" s="380"/>
      <c r="T10" s="381"/>
      <c r="U10" s="437" t="str">
        <f>IF(TRIM(T10)="", "", IF(VLOOKUP(T10,'Footnotes list'!$D$9:$E$58,2,FALSE)=0,"",VLOOKUP(T10,'Footnotes list'!$D$9:$E$58,2,FALSE) ) )</f>
        <v/>
      </c>
      <c r="V10" s="394" t="str">
        <f>IF(AND(TRIM(V8)="",TRIM(V9)=""),"",V8+V9)</f>
        <v/>
      </c>
      <c r="W10" s="379"/>
      <c r="X10" s="380"/>
      <c r="Y10" s="381"/>
      <c r="Z10" s="437" t="str">
        <f>IF(TRIM(Y10)="", "", IF(VLOOKUP(Y10,'Footnotes list'!$D$9:$E$58,2,FALSE)=0,"",VLOOKUP(Y10,'Footnotes list'!$D$9:$E$58,2,FALSE) ) )</f>
        <v/>
      </c>
      <c r="AA10" s="394" t="str">
        <f>IF(AND(TRIM(AA8)="", TRIM(AA9)=""), "", SUM(AA8,AA9))</f>
        <v/>
      </c>
      <c r="AB10" s="379"/>
      <c r="AC10" s="380"/>
      <c r="AD10" s="381"/>
      <c r="AE10" s="437" t="str">
        <f>IF(TRIM(AD10)="", "", IF(VLOOKUP(AD10,'Footnotes list'!$D$9:$E$58,2,FALSE)=0,"",VLOOKUP(AD10,'Footnotes list'!$D$9:$E$58,2,FALSE) ) )</f>
        <v/>
      </c>
      <c r="AF10" s="394" t="str">
        <f>IF(AND(TRIM(AF8)="",TRIM(AF9)=""),"",AF8+AF9)</f>
        <v/>
      </c>
      <c r="AG10" s="379"/>
      <c r="AH10" s="380"/>
      <c r="AI10" s="381"/>
      <c r="AJ10" s="437" t="str">
        <f>IF(TRIM(AI10)="", "", IF(VLOOKUP(AI10,'Footnotes list'!$D$9:$E$58,2,FALSE)=0,"",VLOOKUP(AI10,'Footnotes list'!$D$9:$E$58,2,FALSE) ) )</f>
        <v/>
      </c>
      <c r="AK10" s="394" t="str">
        <f>IF(AND(TRIM(AK8)="",TRIM(AK9)=""),"",AK8+AK9)</f>
        <v/>
      </c>
      <c r="AL10" s="379"/>
      <c r="AM10" s="380"/>
      <c r="AN10" s="381"/>
      <c r="AO10" s="437" t="str">
        <f>IF(TRIM(AN10)="", "", IF(VLOOKUP(AN10,'Footnotes list'!$D$9:$E$58,2,FALSE)=0,"",VLOOKUP(AN10,'Footnotes list'!$D$9:$E$58,2,FALSE) ) )</f>
        <v/>
      </c>
      <c r="AP10" s="394" t="str">
        <f>IF(AND(TRIM(AP8)="", TRIM(AP9)=""), "", SUM(AP8,AP9))</f>
        <v/>
      </c>
      <c r="AQ10" s="379"/>
      <c r="AR10" s="380"/>
      <c r="AS10" s="381"/>
      <c r="AT10" s="437" t="str">
        <f>IF(TRIM(AS10)="", "", IF(VLOOKUP(AS10,'Footnotes list'!$D$9:$E$58,2,FALSE)=0,"",VLOOKUP(AS10,'Footnotes list'!$D$9:$E$58,2,FALSE) ) )</f>
        <v/>
      </c>
      <c r="AU10" s="394" t="str">
        <f>IF(AND(TRIM(AU8)="", TRIM(AU9)=""), "", SUM(AU8,AU9) )</f>
        <v/>
      </c>
      <c r="AV10" s="379"/>
      <c r="AW10" s="380"/>
      <c r="AX10" s="381"/>
      <c r="AY10" s="437" t="str">
        <f>IF(TRIM(AX10)="", "", IF(VLOOKUP(AX10,'Footnotes list'!$D$9:$E$58,2,FALSE)=0,"",VLOOKUP(AX10,'Footnotes list'!$D$9:$E$58,2,FALSE) ) )</f>
        <v/>
      </c>
    </row>
    <row r="11" spans="2:51" ht="15" customHeight="1" x14ac:dyDescent="0.35">
      <c r="B11" s="540" t="s">
        <v>111</v>
      </c>
      <c r="C11" s="416" t="s">
        <v>111</v>
      </c>
      <c r="D11" s="543" t="s">
        <v>79</v>
      </c>
      <c r="E11" s="417" t="s">
        <v>144</v>
      </c>
      <c r="F11" s="418" t="s">
        <v>151</v>
      </c>
      <c r="G11" s="372"/>
      <c r="H11" s="373"/>
      <c r="I11" s="374"/>
      <c r="J11" s="375"/>
      <c r="K11" s="433" t="str">
        <f>IF(TRIM(J11)="", "", IF(VLOOKUP(J11,'Footnotes list'!$D$9:$E$58,2,FALSE)=0,"",VLOOKUP(J11,'Footnotes list'!$D$9:$E$58,2,FALSE) ) )</f>
        <v/>
      </c>
      <c r="L11" s="372"/>
      <c r="M11" s="373"/>
      <c r="N11" s="374"/>
      <c r="O11" s="375"/>
      <c r="P11" s="433" t="str">
        <f>IF(TRIM(O11)="", "", IF(VLOOKUP(O11,'Footnotes list'!$D$9:$E$58,2,FALSE)=0,"",VLOOKUP(O11,'Footnotes list'!$D$9:$E$58,2,FALSE) ) )</f>
        <v/>
      </c>
      <c r="Q11" s="372"/>
      <c r="R11" s="373"/>
      <c r="S11" s="374"/>
      <c r="T11" s="375"/>
      <c r="U11" s="433" t="str">
        <f>IF(TRIM(T11)="", "", IF(VLOOKUP(T11,'Footnotes list'!$D$9:$E$58,2,FALSE)=0,"",VLOOKUP(T11,'Footnotes list'!$D$9:$E$58,2,FALSE) ) )</f>
        <v/>
      </c>
      <c r="V11" s="372"/>
      <c r="W11" s="373"/>
      <c r="X11" s="374"/>
      <c r="Y11" s="375"/>
      <c r="Z11" s="433" t="str">
        <f>IF(TRIM(Y11)="", "", IF(VLOOKUP(Y11,'Footnotes list'!$D$9:$E$58,2,FALSE)=0,"",VLOOKUP(Y11,'Footnotes list'!$D$9:$E$58,2,FALSE) ) )</f>
        <v/>
      </c>
      <c r="AA11" s="400" t="str">
        <f>IF(AND(TRIM(Q11)="",TRIM(V11)=""),"",Q11+V11)</f>
        <v/>
      </c>
      <c r="AB11" s="373"/>
      <c r="AC11" s="374"/>
      <c r="AD11" s="375"/>
      <c r="AE11" s="433" t="str">
        <f>IF(TRIM(AD11)="", "", IF(VLOOKUP(AD11,'Footnotes list'!$D$9:$E$58,2,FALSE)=0,"",VLOOKUP(AD11,'Footnotes list'!$D$9:$E$58,2,FALSE) ) )</f>
        <v/>
      </c>
      <c r="AF11" s="372"/>
      <c r="AG11" s="373"/>
      <c r="AH11" s="374"/>
      <c r="AI11" s="375"/>
      <c r="AJ11" s="433" t="str">
        <f>IF(TRIM(AI11)="", "", IF(VLOOKUP(AI11,'Footnotes list'!$D$9:$E$58,2,FALSE)=0,"",VLOOKUP(AI11,'Footnotes list'!$D$9:$E$58,2,FALSE) ) )</f>
        <v/>
      </c>
      <c r="AK11" s="372"/>
      <c r="AL11" s="373"/>
      <c r="AM11" s="374"/>
      <c r="AN11" s="375"/>
      <c r="AO11" s="433" t="str">
        <f>IF(TRIM(AN11)="", "", IF(VLOOKUP(AN11,'Footnotes list'!$D$9:$E$58,2,FALSE)=0,"",VLOOKUP(AN11,'Footnotes list'!$D$9:$E$58,2,FALSE) ) )</f>
        <v/>
      </c>
      <c r="AP11" s="400" t="str">
        <f>IF(AND(TRIM(AF11)="",TRIM(AK11)=""),"",AF11+AK11)</f>
        <v/>
      </c>
      <c r="AQ11" s="373"/>
      <c r="AR11" s="374"/>
      <c r="AS11" s="375"/>
      <c r="AT11" s="433" t="str">
        <f>IF(TRIM(AS11)="", "", IF(VLOOKUP(AS11,'Footnotes list'!$D$9:$E$58,2,FALSE)=0,"",VLOOKUP(AS11,'Footnotes list'!$D$9:$E$58,2,FALSE) ) )</f>
        <v/>
      </c>
      <c r="AU11" s="400" t="str">
        <f>IF(AND(TRIM(G11)="",TRIM(L11)="",TRIM(AA11)="",TRIM(AP11)=""),"",SUM(G11,L11,AA11,AP11))</f>
        <v/>
      </c>
      <c r="AV11" s="373"/>
      <c r="AW11" s="374"/>
      <c r="AX11" s="375"/>
      <c r="AY11" s="433" t="str">
        <f>IF(TRIM(AX11)="", "", IF(VLOOKUP(AX11,'Footnotes list'!$D$9:$E$58,2,FALSE)=0,"",VLOOKUP(AX11,'Footnotes list'!$D$9:$E$58,2,FALSE) ) )</f>
        <v/>
      </c>
    </row>
    <row r="12" spans="2:51" ht="15" customHeight="1" x14ac:dyDescent="0.35">
      <c r="B12" s="541"/>
      <c r="C12" s="424" t="s">
        <v>111</v>
      </c>
      <c r="D12" s="544"/>
      <c r="E12" s="425" t="s">
        <v>145</v>
      </c>
      <c r="F12" s="426" t="s">
        <v>152</v>
      </c>
      <c r="G12" s="378"/>
      <c r="H12" s="379"/>
      <c r="I12" s="380"/>
      <c r="J12" s="381"/>
      <c r="K12" s="437" t="str">
        <f>IF(TRIM(J12)="", "", IF(VLOOKUP(J12,'Footnotes list'!$D$9:$E$58,2,FALSE)=0,"",VLOOKUP(J12,'Footnotes list'!$D$9:$E$58,2,FALSE) ) )</f>
        <v/>
      </c>
      <c r="L12" s="378"/>
      <c r="M12" s="379"/>
      <c r="N12" s="380"/>
      <c r="O12" s="381"/>
      <c r="P12" s="437" t="str">
        <f>IF(TRIM(O12)="", "", IF(VLOOKUP(O12,'Footnotes list'!$D$9:$E$58,2,FALSE)=0,"",VLOOKUP(O12,'Footnotes list'!$D$9:$E$58,2,FALSE) ) )</f>
        <v/>
      </c>
      <c r="Q12" s="378"/>
      <c r="R12" s="379"/>
      <c r="S12" s="380"/>
      <c r="T12" s="381"/>
      <c r="U12" s="437" t="str">
        <f>IF(TRIM(T12)="", "", IF(VLOOKUP(T12,'Footnotes list'!$D$9:$E$58,2,FALSE)=0,"",VLOOKUP(T12,'Footnotes list'!$D$9:$E$58,2,FALSE) ) )</f>
        <v/>
      </c>
      <c r="V12" s="378"/>
      <c r="W12" s="379"/>
      <c r="X12" s="380"/>
      <c r="Y12" s="381"/>
      <c r="Z12" s="437" t="str">
        <f>IF(TRIM(Y12)="", "", IF(VLOOKUP(Y12,'Footnotes list'!$D$9:$E$58,2,FALSE)=0,"",VLOOKUP(Y12,'Footnotes list'!$D$9:$E$58,2,FALSE) ) )</f>
        <v/>
      </c>
      <c r="AA12" s="399" t="str">
        <f>IF(AND(TRIM(Q12)="",TRIM(V12)=""),"",Q12+V12)</f>
        <v/>
      </c>
      <c r="AB12" s="379"/>
      <c r="AC12" s="380"/>
      <c r="AD12" s="381"/>
      <c r="AE12" s="437" t="str">
        <f>IF(TRIM(AD12)="", "", IF(VLOOKUP(AD12,'Footnotes list'!$D$9:$E$58,2,FALSE)=0,"",VLOOKUP(AD12,'Footnotes list'!$D$9:$E$58,2,FALSE) ) )</f>
        <v/>
      </c>
      <c r="AF12" s="378"/>
      <c r="AG12" s="379"/>
      <c r="AH12" s="380"/>
      <c r="AI12" s="381"/>
      <c r="AJ12" s="437" t="str">
        <f>IF(TRIM(AI12)="", "", IF(VLOOKUP(AI12,'Footnotes list'!$D$9:$E$58,2,FALSE)=0,"",VLOOKUP(AI12,'Footnotes list'!$D$9:$E$58,2,FALSE) ) )</f>
        <v/>
      </c>
      <c r="AK12" s="378"/>
      <c r="AL12" s="379"/>
      <c r="AM12" s="380"/>
      <c r="AN12" s="381"/>
      <c r="AO12" s="437" t="str">
        <f>IF(TRIM(AN12)="", "", IF(VLOOKUP(AN12,'Footnotes list'!$D$9:$E$58,2,FALSE)=0,"",VLOOKUP(AN12,'Footnotes list'!$D$9:$E$58,2,FALSE) ) )</f>
        <v/>
      </c>
      <c r="AP12" s="399" t="str">
        <f>IF(AND(TRIM(AF12)="",TRIM(AK12)=""),"",AF12+AK12)</f>
        <v/>
      </c>
      <c r="AQ12" s="379"/>
      <c r="AR12" s="380"/>
      <c r="AS12" s="381"/>
      <c r="AT12" s="437" t="str">
        <f>IF(TRIM(AS12)="", "", IF(VLOOKUP(AS12,'Footnotes list'!$D$9:$E$58,2,FALSE)=0,"",VLOOKUP(AS12,'Footnotes list'!$D$9:$E$58,2,FALSE) ) )</f>
        <v/>
      </c>
      <c r="AU12" s="438" t="str">
        <f>IF(AND(TRIM(G12)="",TRIM(L12)="",TRIM(AA12)="",TRIM(AP12)=""),"",SUM(G12,L12,AA12,AP12))</f>
        <v/>
      </c>
      <c r="AV12" s="379"/>
      <c r="AW12" s="380"/>
      <c r="AX12" s="381"/>
      <c r="AY12" s="437" t="str">
        <f>IF(TRIM(AX12)="", "", IF(VLOOKUP(AX12,'Footnotes list'!$D$9:$E$58,2,FALSE)=0,"",VLOOKUP(AX12,'Footnotes list'!$D$9:$E$58,2,FALSE) ) )</f>
        <v/>
      </c>
    </row>
    <row r="13" spans="2:51" ht="15" customHeight="1" thickBot="1" x14ac:dyDescent="0.4">
      <c r="B13" s="542"/>
      <c r="C13" s="427" t="s">
        <v>111</v>
      </c>
      <c r="D13" s="545"/>
      <c r="E13" s="422" t="s">
        <v>146</v>
      </c>
      <c r="F13" s="428" t="s">
        <v>234</v>
      </c>
      <c r="G13" s="394" t="str">
        <f>IF(AND(TRIM(G11)="",TRIM(G12)=""),"",G11+G12)</f>
        <v/>
      </c>
      <c r="H13" s="379"/>
      <c r="I13" s="380"/>
      <c r="J13" s="381"/>
      <c r="K13" s="437" t="str">
        <f>IF(TRIM(J13)="", "", IF(VLOOKUP(J13,'Footnotes list'!$D$9:$E$58,2,FALSE)=0,"",VLOOKUP(J13,'Footnotes list'!$D$9:$E$58,2,FALSE) ) )</f>
        <v/>
      </c>
      <c r="L13" s="394" t="str">
        <f>IF(AND(TRIM(L11)="",TRIM(L12)=""),"",L11+L12)</f>
        <v/>
      </c>
      <c r="M13" s="379"/>
      <c r="N13" s="380"/>
      <c r="O13" s="381"/>
      <c r="P13" s="437" t="str">
        <f>IF(TRIM(O13)="", "", IF(VLOOKUP(O13,'Footnotes list'!$D$9:$E$58,2,FALSE)=0,"",VLOOKUP(O13,'Footnotes list'!$D$9:$E$58,2,FALSE) ) )</f>
        <v/>
      </c>
      <c r="Q13" s="394" t="str">
        <f>IF(AND(TRIM(Q11)="",TRIM(Q12)=""),"",Q11+Q12)</f>
        <v/>
      </c>
      <c r="R13" s="379"/>
      <c r="S13" s="380"/>
      <c r="T13" s="381"/>
      <c r="U13" s="437" t="str">
        <f>IF(TRIM(T13)="", "", IF(VLOOKUP(T13,'Footnotes list'!$D$9:$E$58,2,FALSE)=0,"",VLOOKUP(T13,'Footnotes list'!$D$9:$E$58,2,FALSE) ) )</f>
        <v/>
      </c>
      <c r="V13" s="394" t="str">
        <f>IF(AND(TRIM(V11)="",TRIM(V12)=""),"",V11+V12)</f>
        <v/>
      </c>
      <c r="W13" s="379"/>
      <c r="X13" s="380"/>
      <c r="Y13" s="381"/>
      <c r="Z13" s="437" t="str">
        <f>IF(TRIM(Y13)="", "", IF(VLOOKUP(Y13,'Footnotes list'!$D$9:$E$58,2,FALSE)=0,"",VLOOKUP(Y13,'Footnotes list'!$D$9:$E$58,2,FALSE) ) )</f>
        <v/>
      </c>
      <c r="AA13" s="394" t="str">
        <f>IF(AND(TRIM(AA11)="", TRIM(AA12)=""), "", SUM(AA11,AA12))</f>
        <v/>
      </c>
      <c r="AB13" s="379"/>
      <c r="AC13" s="380"/>
      <c r="AD13" s="381"/>
      <c r="AE13" s="437" t="str">
        <f>IF(TRIM(AD13)="", "", IF(VLOOKUP(AD13,'Footnotes list'!$D$9:$E$58,2,FALSE)=0,"",VLOOKUP(AD13,'Footnotes list'!$D$9:$E$58,2,FALSE) ) )</f>
        <v/>
      </c>
      <c r="AF13" s="394" t="str">
        <f>IF(AND(TRIM(AF11)="",TRIM(AF12)=""),"",AF11+AF12)</f>
        <v/>
      </c>
      <c r="AG13" s="379"/>
      <c r="AH13" s="380"/>
      <c r="AI13" s="381"/>
      <c r="AJ13" s="437" t="str">
        <f>IF(TRIM(AI13)="", "", IF(VLOOKUP(AI13,'Footnotes list'!$D$9:$E$58,2,FALSE)=0,"",VLOOKUP(AI13,'Footnotes list'!$D$9:$E$58,2,FALSE) ) )</f>
        <v/>
      </c>
      <c r="AK13" s="394" t="str">
        <f>IF(AND(TRIM(AK11)="",TRIM(AK12)=""),"",AK11+AK12)</f>
        <v/>
      </c>
      <c r="AL13" s="379"/>
      <c r="AM13" s="380"/>
      <c r="AN13" s="381"/>
      <c r="AO13" s="437" t="str">
        <f>IF(TRIM(AN13)="", "", IF(VLOOKUP(AN13,'Footnotes list'!$D$9:$E$58,2,FALSE)=0,"",VLOOKUP(AN13,'Footnotes list'!$D$9:$E$58,2,FALSE) ) )</f>
        <v/>
      </c>
      <c r="AP13" s="394" t="str">
        <f>IF(AND(TRIM(AP11)="", TRIM(AP12)=""), "", SUM(AP11,AP12))</f>
        <v/>
      </c>
      <c r="AQ13" s="379"/>
      <c r="AR13" s="380"/>
      <c r="AS13" s="381"/>
      <c r="AT13" s="437" t="str">
        <f>IF(TRIM(AS13)="", "", IF(VLOOKUP(AS13,'Footnotes list'!$D$9:$E$58,2,FALSE)=0,"",VLOOKUP(AS13,'Footnotes list'!$D$9:$E$58,2,FALSE) ) )</f>
        <v/>
      </c>
      <c r="AU13" s="394" t="str">
        <f>IF(AND(TRIM(AU11)="", TRIM(AU12)=""), "", SUM(AU11,AU12) )</f>
        <v/>
      </c>
      <c r="AV13" s="379"/>
      <c r="AW13" s="380"/>
      <c r="AX13" s="381"/>
      <c r="AY13" s="437" t="str">
        <f>IF(TRIM(AX13)="", "", IF(VLOOKUP(AX13,'Footnotes list'!$D$9:$E$58,2,FALSE)=0,"",VLOOKUP(AX13,'Footnotes list'!$D$9:$E$58,2,FALSE) ) )</f>
        <v/>
      </c>
    </row>
    <row r="14" spans="2:51" ht="15" customHeight="1" x14ac:dyDescent="0.35">
      <c r="B14" s="540" t="s">
        <v>112</v>
      </c>
      <c r="C14" s="416" t="s">
        <v>112</v>
      </c>
      <c r="D14" s="543" t="s">
        <v>80</v>
      </c>
      <c r="E14" s="417" t="s">
        <v>144</v>
      </c>
      <c r="F14" s="418" t="s">
        <v>151</v>
      </c>
      <c r="G14" s="372"/>
      <c r="H14" s="373"/>
      <c r="I14" s="374"/>
      <c r="J14" s="375"/>
      <c r="K14" s="433" t="str">
        <f>IF(TRIM(J14)="", "", IF(VLOOKUP(J14,'Footnotes list'!$D$9:$E$58,2,FALSE)=0,"",VLOOKUP(J14,'Footnotes list'!$D$9:$E$58,2,FALSE) ) )</f>
        <v/>
      </c>
      <c r="L14" s="372"/>
      <c r="M14" s="373"/>
      <c r="N14" s="374"/>
      <c r="O14" s="375"/>
      <c r="P14" s="433" t="str">
        <f>IF(TRIM(O14)="", "", IF(VLOOKUP(O14,'Footnotes list'!$D$9:$E$58,2,FALSE)=0,"",VLOOKUP(O14,'Footnotes list'!$D$9:$E$58,2,FALSE) ) )</f>
        <v/>
      </c>
      <c r="Q14" s="372"/>
      <c r="R14" s="373"/>
      <c r="S14" s="374"/>
      <c r="T14" s="375"/>
      <c r="U14" s="433" t="str">
        <f>IF(TRIM(T14)="", "", IF(VLOOKUP(T14,'Footnotes list'!$D$9:$E$58,2,FALSE)=0,"",VLOOKUP(T14,'Footnotes list'!$D$9:$E$58,2,FALSE) ) )</f>
        <v/>
      </c>
      <c r="V14" s="372"/>
      <c r="W14" s="373"/>
      <c r="X14" s="374"/>
      <c r="Y14" s="375"/>
      <c r="Z14" s="433" t="str">
        <f>IF(TRIM(Y14)="", "", IF(VLOOKUP(Y14,'Footnotes list'!$D$9:$E$58,2,FALSE)=0,"",VLOOKUP(Y14,'Footnotes list'!$D$9:$E$58,2,FALSE) ) )</f>
        <v/>
      </c>
      <c r="AA14" s="401" t="str">
        <f>IF(AND(TRIM(Q14)="",TRIM(V14)=""),"",Q14+V14)</f>
        <v/>
      </c>
      <c r="AB14" s="373"/>
      <c r="AC14" s="374"/>
      <c r="AD14" s="375"/>
      <c r="AE14" s="433" t="str">
        <f>IF(TRIM(AD14)="", "", IF(VLOOKUP(AD14,'Footnotes list'!$D$9:$E$58,2,FALSE)=0,"",VLOOKUP(AD14,'Footnotes list'!$D$9:$E$58,2,FALSE) ) )</f>
        <v/>
      </c>
      <c r="AF14" s="372"/>
      <c r="AG14" s="373"/>
      <c r="AH14" s="374"/>
      <c r="AI14" s="375"/>
      <c r="AJ14" s="433" t="str">
        <f>IF(TRIM(AI14)="", "", IF(VLOOKUP(AI14,'Footnotes list'!$D$9:$E$58,2,FALSE)=0,"",VLOOKUP(AI14,'Footnotes list'!$D$9:$E$58,2,FALSE) ) )</f>
        <v/>
      </c>
      <c r="AK14" s="372"/>
      <c r="AL14" s="373"/>
      <c r="AM14" s="374"/>
      <c r="AN14" s="375"/>
      <c r="AO14" s="433" t="str">
        <f>IF(TRIM(AN14)="", "", IF(VLOOKUP(AN14,'Footnotes list'!$D$9:$E$58,2,FALSE)=0,"",VLOOKUP(AN14,'Footnotes list'!$D$9:$E$58,2,FALSE) ) )</f>
        <v/>
      </c>
      <c r="AP14" s="401" t="str">
        <f>IF(AND(TRIM(AF14)="",TRIM(AK14)=""),"",AF14+AK14)</f>
        <v/>
      </c>
      <c r="AQ14" s="373"/>
      <c r="AR14" s="374"/>
      <c r="AS14" s="375"/>
      <c r="AT14" s="433" t="str">
        <f>IF(TRIM(AS14)="", "", IF(VLOOKUP(AS14,'Footnotes list'!$D$9:$E$58,2,FALSE)=0,"",VLOOKUP(AS14,'Footnotes list'!$D$9:$E$58,2,FALSE) ) )</f>
        <v/>
      </c>
      <c r="AU14" s="400" t="str">
        <f>IF(AND(TRIM(G14)="",TRIM(L14)="",TRIM(AA14)="",TRIM(AP14)=""),"",SUM(G14,L14,AA14,AP14))</f>
        <v/>
      </c>
      <c r="AV14" s="373"/>
      <c r="AW14" s="374"/>
      <c r="AX14" s="375"/>
      <c r="AY14" s="433" t="str">
        <f>IF(TRIM(AX14)="", "", IF(VLOOKUP(AX14,'Footnotes list'!$D$9:$E$58,2,FALSE)=0,"",VLOOKUP(AX14,'Footnotes list'!$D$9:$E$58,2,FALSE) ) )</f>
        <v/>
      </c>
    </row>
    <row r="15" spans="2:51" ht="15" customHeight="1" thickBot="1" x14ac:dyDescent="0.4">
      <c r="B15" s="541"/>
      <c r="C15" s="419"/>
      <c r="D15" s="544"/>
      <c r="E15" s="419"/>
      <c r="F15" s="420" t="s">
        <v>233</v>
      </c>
      <c r="G15" s="434"/>
      <c r="H15" s="435"/>
      <c r="I15" s="435"/>
      <c r="J15" s="435"/>
      <c r="K15" s="436"/>
      <c r="L15" s="434"/>
      <c r="M15" s="435"/>
      <c r="N15" s="435"/>
      <c r="O15" s="435"/>
      <c r="P15" s="436"/>
      <c r="Q15" s="434"/>
      <c r="R15" s="435"/>
      <c r="S15" s="435"/>
      <c r="T15" s="435"/>
      <c r="U15" s="436"/>
      <c r="V15" s="434"/>
      <c r="W15" s="435"/>
      <c r="X15" s="435"/>
      <c r="Y15" s="435"/>
      <c r="Z15" s="436"/>
      <c r="AA15" s="434"/>
      <c r="AB15" s="435"/>
      <c r="AC15" s="435"/>
      <c r="AD15" s="435"/>
      <c r="AE15" s="436"/>
      <c r="AF15" s="434"/>
      <c r="AG15" s="435"/>
      <c r="AH15" s="435"/>
      <c r="AI15" s="435"/>
      <c r="AJ15" s="436"/>
      <c r="AK15" s="434"/>
      <c r="AL15" s="435"/>
      <c r="AM15" s="435"/>
      <c r="AN15" s="435"/>
      <c r="AO15" s="436"/>
      <c r="AP15" s="434"/>
      <c r="AQ15" s="435"/>
      <c r="AR15" s="435"/>
      <c r="AS15" s="435"/>
      <c r="AT15" s="436"/>
      <c r="AU15" s="434"/>
      <c r="AV15" s="435"/>
      <c r="AW15" s="435"/>
      <c r="AX15" s="435"/>
      <c r="AY15" s="436"/>
    </row>
    <row r="16" spans="2:51" ht="15" customHeight="1" thickBot="1" x14ac:dyDescent="0.4">
      <c r="B16" s="542"/>
      <c r="C16" s="427" t="s">
        <v>112</v>
      </c>
      <c r="D16" s="545"/>
      <c r="E16" s="422" t="s">
        <v>146</v>
      </c>
      <c r="F16" s="428" t="s">
        <v>234</v>
      </c>
      <c r="G16" s="394" t="str">
        <f>IF(AND(TRIM(G14)="",TRIM(G15)=""),"",G14+G15)</f>
        <v/>
      </c>
      <c r="H16" s="373"/>
      <c r="I16" s="374"/>
      <c r="J16" s="375"/>
      <c r="K16" s="433" t="str">
        <f>IF(TRIM(J16)="", "", IF(VLOOKUP(J16,'Footnotes list'!$D$9:$E$58,2,FALSE)=0,"",VLOOKUP(J16,'Footnotes list'!$D$9:$E$58,2,FALSE) ) )</f>
        <v/>
      </c>
      <c r="L16" s="394" t="str">
        <f>IF(AND(TRIM(L14)="",TRIM(L15)=""),"",L14+L15)</f>
        <v/>
      </c>
      <c r="M16" s="373"/>
      <c r="N16" s="374"/>
      <c r="O16" s="375"/>
      <c r="P16" s="433" t="str">
        <f>IF(TRIM(O16)="", "", IF(VLOOKUP(O16,'Footnotes list'!$D$9:$E$58,2,FALSE)=0,"",VLOOKUP(O16,'Footnotes list'!$D$9:$E$58,2,FALSE) ) )</f>
        <v/>
      </c>
      <c r="Q16" s="394" t="str">
        <f>IF(AND(TRIM(Q14)="",TRIM(Q15)=""),"",Q14+Q15)</f>
        <v/>
      </c>
      <c r="R16" s="373"/>
      <c r="S16" s="374"/>
      <c r="T16" s="375"/>
      <c r="U16" s="433" t="str">
        <f>IF(TRIM(T16)="", "", IF(VLOOKUP(T16,'Footnotes list'!$D$9:$E$58,2,FALSE)=0,"",VLOOKUP(T16,'Footnotes list'!$D$9:$E$58,2,FALSE) ) )</f>
        <v/>
      </c>
      <c r="V16" s="394" t="str">
        <f>IF(AND(TRIM(V14)="",TRIM(V15)=""),"",V14+V15)</f>
        <v/>
      </c>
      <c r="W16" s="373"/>
      <c r="X16" s="374"/>
      <c r="Y16" s="375"/>
      <c r="Z16" s="433" t="str">
        <f>IF(TRIM(Y16)="", "", IF(VLOOKUP(Y16,'Footnotes list'!$D$9:$E$58,2,FALSE)=0,"",VLOOKUP(Y16,'Footnotes list'!$D$9:$E$58,2,FALSE) ) )</f>
        <v/>
      </c>
      <c r="AA16" s="397" t="str">
        <f>IF(AND(TRIM(AA14)="", TRIM(AA15)=""), "", SUM(AA14,AA15))</f>
        <v/>
      </c>
      <c r="AB16" s="373"/>
      <c r="AC16" s="374"/>
      <c r="AD16" s="375"/>
      <c r="AE16" s="433" t="str">
        <f>IF(TRIM(AD16)="", "", IF(VLOOKUP(AD16,'Footnotes list'!$D$9:$E$58,2,FALSE)=0,"",VLOOKUP(AD16,'Footnotes list'!$D$9:$E$58,2,FALSE) ) )</f>
        <v/>
      </c>
      <c r="AF16" s="394" t="str">
        <f>IF(AND(TRIM(AF14)="",TRIM(AF15)=""),"",AF14+AF15)</f>
        <v/>
      </c>
      <c r="AG16" s="373"/>
      <c r="AH16" s="374"/>
      <c r="AI16" s="375"/>
      <c r="AJ16" s="433" t="str">
        <f>IF(TRIM(AI16)="", "", IF(VLOOKUP(AI16,'Footnotes list'!$D$9:$E$58,2,FALSE)=0,"",VLOOKUP(AI16,'Footnotes list'!$D$9:$E$58,2,FALSE) ) )</f>
        <v/>
      </c>
      <c r="AK16" s="394" t="str">
        <f>IF(AND(TRIM(AK14)="",TRIM(AK15)=""),"",AK14+AK15)</f>
        <v/>
      </c>
      <c r="AL16" s="373"/>
      <c r="AM16" s="374"/>
      <c r="AN16" s="375"/>
      <c r="AO16" s="433" t="str">
        <f>IF(TRIM(AN16)="", "", IF(VLOOKUP(AN16,'Footnotes list'!$D$9:$E$58,2,FALSE)=0,"",VLOOKUP(AN16,'Footnotes list'!$D$9:$E$58,2,FALSE) ) )</f>
        <v/>
      </c>
      <c r="AP16" s="397" t="str">
        <f>IF(AND(TRIM(AP14)="", TRIM(AP15)=""), "", SUM(AP14,AP15))</f>
        <v/>
      </c>
      <c r="AQ16" s="373"/>
      <c r="AR16" s="374"/>
      <c r="AS16" s="375"/>
      <c r="AT16" s="433" t="str">
        <f>IF(TRIM(AS16)="", "", IF(VLOOKUP(AS16,'Footnotes list'!$D$9:$E$58,2,FALSE)=0,"",VLOOKUP(AS16,'Footnotes list'!$D$9:$E$58,2,FALSE) ) )</f>
        <v/>
      </c>
      <c r="AU16" s="394" t="str">
        <f>IF(AND(TRIM(AU14)="", TRIM(AU15)=""), "", SUM(AU14,AU15) )</f>
        <v/>
      </c>
      <c r="AV16" s="373"/>
      <c r="AW16" s="374"/>
      <c r="AX16" s="375"/>
      <c r="AY16" s="433" t="str">
        <f>IF(TRIM(AX16)="", "", IF(VLOOKUP(AX16,'Footnotes list'!$D$9:$E$58,2,FALSE)=0,"",VLOOKUP(AX16,'Footnotes list'!$D$9:$E$58,2,FALSE) ) )</f>
        <v/>
      </c>
    </row>
    <row r="17" spans="2:51" ht="15" customHeight="1" x14ac:dyDescent="0.35">
      <c r="B17" s="540" t="s">
        <v>113</v>
      </c>
      <c r="C17" s="416" t="s">
        <v>113</v>
      </c>
      <c r="D17" s="543" t="s">
        <v>81</v>
      </c>
      <c r="E17" s="417" t="s">
        <v>144</v>
      </c>
      <c r="F17" s="418" t="s">
        <v>151</v>
      </c>
      <c r="G17" s="372"/>
      <c r="H17" s="373"/>
      <c r="I17" s="374"/>
      <c r="J17" s="375"/>
      <c r="K17" s="433"/>
      <c r="L17" s="372"/>
      <c r="M17" s="373"/>
      <c r="N17" s="374"/>
      <c r="O17" s="375"/>
      <c r="P17" s="433" t="str">
        <f>IF(TRIM(O17)="", "", IF(VLOOKUP(O17,'Footnotes list'!$D$9:$E$58,2,FALSE)=0,"",VLOOKUP(O17,'Footnotes list'!$D$9:$E$58,2,FALSE) ) )</f>
        <v/>
      </c>
      <c r="Q17" s="372"/>
      <c r="R17" s="373"/>
      <c r="S17" s="374"/>
      <c r="T17" s="375"/>
      <c r="U17" s="433" t="str">
        <f>IF(TRIM(T17)="", "", IF(VLOOKUP(T17,'Footnotes list'!$D$9:$E$58,2,FALSE)=0,"",VLOOKUP(T17,'Footnotes list'!$D$9:$E$58,2,FALSE) ) )</f>
        <v/>
      </c>
      <c r="V17" s="372"/>
      <c r="W17" s="373"/>
      <c r="X17" s="374"/>
      <c r="Y17" s="375"/>
      <c r="Z17" s="433" t="str">
        <f>IF(TRIM(Y17)="", "", IF(VLOOKUP(Y17,'Footnotes list'!$D$9:$E$58,2,FALSE)=0,"",VLOOKUP(Y17,'Footnotes list'!$D$9:$E$58,2,FALSE) ) )</f>
        <v/>
      </c>
      <c r="AA17" s="400" t="str">
        <f>IF(AND(TRIM(Q17)="",TRIM(V17)=""),"",Q17+V17)</f>
        <v/>
      </c>
      <c r="AB17" s="373"/>
      <c r="AC17" s="374"/>
      <c r="AD17" s="375"/>
      <c r="AE17" s="433" t="str">
        <f>IF(TRIM(AD17)="", "", IF(VLOOKUP(AD17,'Footnotes list'!$D$9:$E$58,2,FALSE)=0,"",VLOOKUP(AD17,'Footnotes list'!$D$9:$E$58,2,FALSE) ) )</f>
        <v/>
      </c>
      <c r="AF17" s="372"/>
      <c r="AG17" s="373"/>
      <c r="AH17" s="374"/>
      <c r="AI17" s="375"/>
      <c r="AJ17" s="433" t="str">
        <f>IF(TRIM(AI17)="", "", IF(VLOOKUP(AI17,'Footnotes list'!$D$9:$E$58,2,FALSE)=0,"",VLOOKUP(AI17,'Footnotes list'!$D$9:$E$58,2,FALSE) ) )</f>
        <v/>
      </c>
      <c r="AK17" s="372"/>
      <c r="AL17" s="373"/>
      <c r="AM17" s="374"/>
      <c r="AN17" s="375"/>
      <c r="AO17" s="433" t="str">
        <f>IF(TRIM(AN17)="", "", IF(VLOOKUP(AN17,'Footnotes list'!$D$9:$E$58,2,FALSE)=0,"",VLOOKUP(AN17,'Footnotes list'!$D$9:$E$58,2,FALSE) ) )</f>
        <v/>
      </c>
      <c r="AP17" s="400" t="str">
        <f>IF(AND(TRIM(AF17)="",TRIM(AK17)=""),"",AF17+AK17)</f>
        <v/>
      </c>
      <c r="AQ17" s="373"/>
      <c r="AR17" s="374"/>
      <c r="AS17" s="375"/>
      <c r="AT17" s="433" t="str">
        <f>IF(TRIM(AS17)="", "", IF(VLOOKUP(AS17,'Footnotes list'!$D$9:$E$58,2,FALSE)=0,"",VLOOKUP(AS17,'Footnotes list'!$D$9:$E$58,2,FALSE) ) )</f>
        <v/>
      </c>
      <c r="AU17" s="400" t="str">
        <f>IF(AND(TRIM(G17)="",TRIM(L17)="",TRIM(AA17)="",TRIM(AP17)=""),"",SUM(G17,L17,AA17,AP17))</f>
        <v/>
      </c>
      <c r="AV17" s="373"/>
      <c r="AW17" s="374"/>
      <c r="AX17" s="375"/>
      <c r="AY17" s="433" t="str">
        <f>IF(TRIM(AX17)="", "", IF(VLOOKUP(AX17,'Footnotes list'!$D$9:$E$58,2,FALSE)=0,"",VLOOKUP(AX17,'Footnotes list'!$D$9:$E$58,2,FALSE) ) )</f>
        <v/>
      </c>
    </row>
    <row r="18" spans="2:51" ht="15" customHeight="1" x14ac:dyDescent="0.35">
      <c r="B18" s="541"/>
      <c r="C18" s="424" t="s">
        <v>113</v>
      </c>
      <c r="D18" s="544"/>
      <c r="E18" s="425" t="s">
        <v>145</v>
      </c>
      <c r="F18" s="426" t="s">
        <v>152</v>
      </c>
      <c r="G18" s="378"/>
      <c r="H18" s="379"/>
      <c r="I18" s="380"/>
      <c r="J18" s="381"/>
      <c r="K18" s="437" t="str">
        <f>IF(TRIM(J18)="", "", IF(VLOOKUP(J18,'Footnotes list'!$D$9:$E$58,2,FALSE)=0,"",VLOOKUP(J18,'Footnotes list'!$D$9:$E$58,2,FALSE) ) )</f>
        <v/>
      </c>
      <c r="L18" s="378"/>
      <c r="M18" s="379"/>
      <c r="N18" s="380"/>
      <c r="O18" s="381"/>
      <c r="P18" s="437" t="str">
        <f>IF(TRIM(O18)="", "", IF(VLOOKUP(O18,'Footnotes list'!$D$9:$E$58,2,FALSE)=0,"",VLOOKUP(O18,'Footnotes list'!$D$9:$E$58,2,FALSE) ) )</f>
        <v/>
      </c>
      <c r="Q18" s="378"/>
      <c r="R18" s="379"/>
      <c r="S18" s="380"/>
      <c r="T18" s="381"/>
      <c r="U18" s="437" t="str">
        <f>IF(TRIM(T18)="", "", IF(VLOOKUP(T18,'Footnotes list'!$D$9:$E$58,2,FALSE)=0,"",VLOOKUP(T18,'Footnotes list'!$D$9:$E$58,2,FALSE) ) )</f>
        <v/>
      </c>
      <c r="V18" s="378"/>
      <c r="W18" s="379"/>
      <c r="X18" s="380"/>
      <c r="Y18" s="381"/>
      <c r="Z18" s="437" t="str">
        <f>IF(TRIM(Y18)="", "", IF(VLOOKUP(Y18,'Footnotes list'!$D$9:$E$58,2,FALSE)=0,"",VLOOKUP(Y18,'Footnotes list'!$D$9:$E$58,2,FALSE) ) )</f>
        <v/>
      </c>
      <c r="AA18" s="399" t="str">
        <f>IF(AND(TRIM(Q18)="",TRIM(V18)=""),"",Q18+V18)</f>
        <v/>
      </c>
      <c r="AB18" s="379"/>
      <c r="AC18" s="380"/>
      <c r="AD18" s="381"/>
      <c r="AE18" s="437" t="str">
        <f>IF(TRIM(AD18)="", "", IF(VLOOKUP(AD18,'Footnotes list'!$D$9:$E$58,2,FALSE)=0,"",VLOOKUP(AD18,'Footnotes list'!$D$9:$E$58,2,FALSE) ) )</f>
        <v/>
      </c>
      <c r="AF18" s="378"/>
      <c r="AG18" s="379"/>
      <c r="AH18" s="380"/>
      <c r="AI18" s="381"/>
      <c r="AJ18" s="437" t="str">
        <f>IF(TRIM(AI18)="", "", IF(VLOOKUP(AI18,'Footnotes list'!$D$9:$E$58,2,FALSE)=0,"",VLOOKUP(AI18,'Footnotes list'!$D$9:$E$58,2,FALSE) ) )</f>
        <v/>
      </c>
      <c r="AK18" s="378"/>
      <c r="AL18" s="379"/>
      <c r="AM18" s="380"/>
      <c r="AN18" s="381"/>
      <c r="AO18" s="437" t="str">
        <f>IF(TRIM(AN18)="", "", IF(VLOOKUP(AN18,'Footnotes list'!$D$9:$E$58,2,FALSE)=0,"",VLOOKUP(AN18,'Footnotes list'!$D$9:$E$58,2,FALSE) ) )</f>
        <v/>
      </c>
      <c r="AP18" s="399" t="str">
        <f>IF(AND(TRIM(AF18)="",TRIM(AK18)=""),"",AF18+AK18)</f>
        <v/>
      </c>
      <c r="AQ18" s="379"/>
      <c r="AR18" s="380"/>
      <c r="AS18" s="381"/>
      <c r="AT18" s="437" t="str">
        <f>IF(TRIM(AS18)="", "", IF(VLOOKUP(AS18,'Footnotes list'!$D$9:$E$58,2,FALSE)=0,"",VLOOKUP(AS18,'Footnotes list'!$D$9:$E$58,2,FALSE) ) )</f>
        <v/>
      </c>
      <c r="AU18" s="438" t="str">
        <f>IF(AND(TRIM(G18)="",TRIM(L18)="",TRIM(AA18)="",TRIM(AP18)=""),"",SUM(G18,L18,AA18,AP18))</f>
        <v/>
      </c>
      <c r="AV18" s="379"/>
      <c r="AW18" s="380"/>
      <c r="AX18" s="381"/>
      <c r="AY18" s="437" t="str">
        <f>IF(TRIM(AX18)="", "", IF(VLOOKUP(AX18,'Footnotes list'!$D$9:$E$58,2,FALSE)=0,"",VLOOKUP(AX18,'Footnotes list'!$D$9:$E$58,2,FALSE) ) )</f>
        <v/>
      </c>
    </row>
    <row r="19" spans="2:51" ht="15" customHeight="1" thickBot="1" x14ac:dyDescent="0.4">
      <c r="B19" s="542"/>
      <c r="C19" s="427" t="s">
        <v>113</v>
      </c>
      <c r="D19" s="545"/>
      <c r="E19" s="422" t="s">
        <v>146</v>
      </c>
      <c r="F19" s="428" t="s">
        <v>234</v>
      </c>
      <c r="G19" s="394"/>
      <c r="H19" s="379"/>
      <c r="I19" s="380"/>
      <c r="J19" s="381"/>
      <c r="K19" s="437" t="str">
        <f>IF(TRIM(J19)="", "", IF(VLOOKUP(J19,'Footnotes list'!$D$9:$E$58,2,FALSE)=0,"",VLOOKUP(J19,'Footnotes list'!$D$9:$E$58,2,FALSE) ) )</f>
        <v/>
      </c>
      <c r="L19" s="394" t="str">
        <f>IF(AND(TRIM(L17)="",TRIM(L18)=""),"",L17+L18)</f>
        <v/>
      </c>
      <c r="M19" s="379"/>
      <c r="N19" s="380"/>
      <c r="O19" s="381"/>
      <c r="P19" s="437" t="str">
        <f>IF(TRIM(O19)="", "", IF(VLOOKUP(O19,'Footnotes list'!$D$9:$E$58,2,FALSE)=0,"",VLOOKUP(O19,'Footnotes list'!$D$9:$E$58,2,FALSE) ) )</f>
        <v/>
      </c>
      <c r="Q19" s="394" t="str">
        <f>IF(AND(TRIM(Q17)="",TRIM(Q18)=""),"",Q17+Q18)</f>
        <v/>
      </c>
      <c r="R19" s="379"/>
      <c r="S19" s="380"/>
      <c r="T19" s="381"/>
      <c r="U19" s="437" t="str">
        <f>IF(TRIM(T19)="", "", IF(VLOOKUP(T19,'Footnotes list'!$D$9:$E$58,2,FALSE)=0,"",VLOOKUP(T19,'Footnotes list'!$D$9:$E$58,2,FALSE) ) )</f>
        <v/>
      </c>
      <c r="V19" s="394" t="str">
        <f>IF(AND(TRIM(V17)="",TRIM(V18)=""),"",V17+V18)</f>
        <v/>
      </c>
      <c r="W19" s="379"/>
      <c r="X19" s="380"/>
      <c r="Y19" s="381"/>
      <c r="Z19" s="437" t="str">
        <f>IF(TRIM(Y19)="", "", IF(VLOOKUP(Y19,'Footnotes list'!$D$9:$E$58,2,FALSE)=0,"",VLOOKUP(Y19,'Footnotes list'!$D$9:$E$58,2,FALSE) ) )</f>
        <v/>
      </c>
      <c r="AA19" s="394" t="str">
        <f>IF(AND(TRIM(AA17)="", TRIM(AA18)=""), "", SUM(AA17,AA18))</f>
        <v/>
      </c>
      <c r="AB19" s="379"/>
      <c r="AC19" s="380"/>
      <c r="AD19" s="381"/>
      <c r="AE19" s="437" t="str">
        <f>IF(TRIM(AD19)="", "", IF(VLOOKUP(AD19,'Footnotes list'!$D$9:$E$58,2,FALSE)=0,"",VLOOKUP(AD19,'Footnotes list'!$D$9:$E$58,2,FALSE) ) )</f>
        <v/>
      </c>
      <c r="AF19" s="394" t="str">
        <f>IF(AND(TRIM(AF17)="",TRIM(AF18)=""),"",AF17+AF18)</f>
        <v/>
      </c>
      <c r="AG19" s="379"/>
      <c r="AH19" s="380"/>
      <c r="AI19" s="381"/>
      <c r="AJ19" s="437" t="str">
        <f>IF(TRIM(AI19)="", "", IF(VLOOKUP(AI19,'Footnotes list'!$D$9:$E$58,2,FALSE)=0,"",VLOOKUP(AI19,'Footnotes list'!$D$9:$E$58,2,FALSE) ) )</f>
        <v/>
      </c>
      <c r="AK19" s="394" t="str">
        <f>IF(AND(TRIM(AK17)="",TRIM(AK18)=""),"",AK17+AK18)</f>
        <v/>
      </c>
      <c r="AL19" s="379"/>
      <c r="AM19" s="380"/>
      <c r="AN19" s="381"/>
      <c r="AO19" s="437" t="str">
        <f>IF(TRIM(AN19)="", "", IF(VLOOKUP(AN19,'Footnotes list'!$D$9:$E$58,2,FALSE)=0,"",VLOOKUP(AN19,'Footnotes list'!$D$9:$E$58,2,FALSE) ) )</f>
        <v/>
      </c>
      <c r="AP19" s="394" t="str">
        <f>IF(AND(TRIM(AP17)="", TRIM(AP18)=""), "", SUM(AP17,AP18))</f>
        <v/>
      </c>
      <c r="AQ19" s="379"/>
      <c r="AR19" s="380"/>
      <c r="AS19" s="381"/>
      <c r="AT19" s="437" t="str">
        <f>IF(TRIM(AS19)="", "", IF(VLOOKUP(AS19,'Footnotes list'!$D$9:$E$58,2,FALSE)=0,"",VLOOKUP(AS19,'Footnotes list'!$D$9:$E$58,2,FALSE) ) )</f>
        <v/>
      </c>
      <c r="AU19" s="394" t="str">
        <f>IF(AND(TRIM(AU17)="", TRIM(AU18)=""), "", SUM(AU17,AU18) )</f>
        <v/>
      </c>
      <c r="AV19" s="379"/>
      <c r="AW19" s="380"/>
      <c r="AX19" s="381"/>
      <c r="AY19" s="437" t="str">
        <f>IF(TRIM(AX19)="", "", IF(VLOOKUP(AX19,'Footnotes list'!$D$9:$E$58,2,FALSE)=0,"",VLOOKUP(AX19,'Footnotes list'!$D$9:$E$58,2,FALSE) ) )</f>
        <v/>
      </c>
    </row>
    <row r="20" spans="2:51" ht="15" customHeight="1" x14ac:dyDescent="0.35">
      <c r="B20" s="540" t="s">
        <v>114</v>
      </c>
      <c r="C20" s="416" t="s">
        <v>114</v>
      </c>
      <c r="D20" s="543" t="s">
        <v>82</v>
      </c>
      <c r="E20" s="417" t="s">
        <v>144</v>
      </c>
      <c r="F20" s="418" t="s">
        <v>151</v>
      </c>
      <c r="G20" s="372"/>
      <c r="H20" s="373"/>
      <c r="I20" s="374"/>
      <c r="J20" s="375"/>
      <c r="K20" s="433" t="str">
        <f>IF(TRIM(J20)="", "", IF(VLOOKUP(J20,'Footnotes list'!$D$9:$E$58,2,FALSE)=0,"",VLOOKUP(J20,'Footnotes list'!$D$9:$E$58,2,FALSE) ) )</f>
        <v/>
      </c>
      <c r="L20" s="372"/>
      <c r="M20" s="373"/>
      <c r="N20" s="374"/>
      <c r="O20" s="375"/>
      <c r="P20" s="433" t="str">
        <f>IF(TRIM(O20)="", "", IF(VLOOKUP(O20,'Footnotes list'!$D$9:$E$58,2,FALSE)=0,"",VLOOKUP(O20,'Footnotes list'!$D$9:$E$58,2,FALSE) ) )</f>
        <v/>
      </c>
      <c r="Q20" s="372"/>
      <c r="R20" s="373"/>
      <c r="S20" s="374"/>
      <c r="T20" s="375"/>
      <c r="U20" s="433" t="str">
        <f>IF(TRIM(T20)="", "", IF(VLOOKUP(T20,'Footnotes list'!$D$9:$E$58,2,FALSE)=0,"",VLOOKUP(T20,'Footnotes list'!$D$9:$E$58,2,FALSE) ) )</f>
        <v/>
      </c>
      <c r="V20" s="372"/>
      <c r="W20" s="373"/>
      <c r="X20" s="374"/>
      <c r="Y20" s="375"/>
      <c r="Z20" s="433" t="str">
        <f>IF(TRIM(Y20)="", "", IF(VLOOKUP(Y20,'Footnotes list'!$D$9:$E$58,2,FALSE)=0,"",VLOOKUP(Y20,'Footnotes list'!$D$9:$E$58,2,FALSE) ) )</f>
        <v/>
      </c>
      <c r="AA20" s="400" t="str">
        <f>IF(AND(TRIM(Q20)="",TRIM(V20)=""),"",Q20+V20)</f>
        <v/>
      </c>
      <c r="AB20" s="373"/>
      <c r="AC20" s="374"/>
      <c r="AD20" s="375"/>
      <c r="AE20" s="433" t="str">
        <f>IF(TRIM(AD20)="", "", IF(VLOOKUP(AD20,'Footnotes list'!$D$9:$E$58,2,FALSE)=0,"",VLOOKUP(AD20,'Footnotes list'!$D$9:$E$58,2,FALSE) ) )</f>
        <v/>
      </c>
      <c r="AF20" s="372"/>
      <c r="AG20" s="373"/>
      <c r="AH20" s="374"/>
      <c r="AI20" s="375"/>
      <c r="AJ20" s="433" t="str">
        <f>IF(TRIM(AI20)="", "", IF(VLOOKUP(AI20,'Footnotes list'!$D$9:$E$58,2,FALSE)=0,"",VLOOKUP(AI20,'Footnotes list'!$D$9:$E$58,2,FALSE) ) )</f>
        <v/>
      </c>
      <c r="AK20" s="372"/>
      <c r="AL20" s="373"/>
      <c r="AM20" s="374"/>
      <c r="AN20" s="375"/>
      <c r="AO20" s="433" t="str">
        <f>IF(TRIM(AN20)="", "", IF(VLOOKUP(AN20,'Footnotes list'!$D$9:$E$58,2,FALSE)=0,"",VLOOKUP(AN20,'Footnotes list'!$D$9:$E$58,2,FALSE) ) )</f>
        <v/>
      </c>
      <c r="AP20" s="400" t="str">
        <f>IF(AND(TRIM(AF20)="",TRIM(AK20)=""),"",AF20+AK20)</f>
        <v/>
      </c>
      <c r="AQ20" s="373"/>
      <c r="AR20" s="374"/>
      <c r="AS20" s="375"/>
      <c r="AT20" s="433" t="str">
        <f>IF(TRIM(AS20)="", "", IF(VLOOKUP(AS20,'Footnotes list'!$D$9:$E$58,2,FALSE)=0,"",VLOOKUP(AS20,'Footnotes list'!$D$9:$E$58,2,FALSE) ) )</f>
        <v/>
      </c>
      <c r="AU20" s="400" t="str">
        <f>IF(AND(TRIM(G20)="",TRIM(L20)="",TRIM(AA20)="",TRIM(AP20)=""),"",SUM(G20,L20,AA20,AP20))</f>
        <v/>
      </c>
      <c r="AV20" s="373"/>
      <c r="AW20" s="374"/>
      <c r="AX20" s="375"/>
      <c r="AY20" s="433" t="str">
        <f>IF(TRIM(AX20)="", "", IF(VLOOKUP(AX20,'Footnotes list'!$D$9:$E$58,2,FALSE)=0,"",VLOOKUP(AX20,'Footnotes list'!$D$9:$E$58,2,FALSE) ) )</f>
        <v/>
      </c>
    </row>
    <row r="21" spans="2:51" ht="15" customHeight="1" x14ac:dyDescent="0.35">
      <c r="B21" s="541"/>
      <c r="C21" s="424" t="s">
        <v>114</v>
      </c>
      <c r="D21" s="544"/>
      <c r="E21" s="425" t="s">
        <v>145</v>
      </c>
      <c r="F21" s="426" t="s">
        <v>152</v>
      </c>
      <c r="G21" s="378"/>
      <c r="H21" s="379"/>
      <c r="I21" s="380"/>
      <c r="J21" s="381"/>
      <c r="K21" s="437" t="str">
        <f>IF(TRIM(J21)="", "", IF(VLOOKUP(J21,'Footnotes list'!$D$9:$E$58,2,FALSE)=0,"",VLOOKUP(J21,'Footnotes list'!$D$9:$E$58,2,FALSE) ) )</f>
        <v/>
      </c>
      <c r="L21" s="378"/>
      <c r="M21" s="379"/>
      <c r="N21" s="380"/>
      <c r="O21" s="381"/>
      <c r="P21" s="437"/>
      <c r="Q21" s="378"/>
      <c r="R21" s="379"/>
      <c r="S21" s="380"/>
      <c r="T21" s="381"/>
      <c r="U21" s="437" t="str">
        <f>IF(TRIM(T21)="", "", IF(VLOOKUP(T21,'Footnotes list'!$D$9:$E$58,2,FALSE)=0,"",VLOOKUP(T21,'Footnotes list'!$D$9:$E$58,2,FALSE) ) )</f>
        <v/>
      </c>
      <c r="V21" s="378"/>
      <c r="W21" s="379"/>
      <c r="X21" s="380"/>
      <c r="Y21" s="381"/>
      <c r="Z21" s="437" t="str">
        <f>IF(TRIM(Y21)="", "", IF(VLOOKUP(Y21,'Footnotes list'!$D$9:$E$58,2,FALSE)=0,"",VLOOKUP(Y21,'Footnotes list'!$D$9:$E$58,2,FALSE) ) )</f>
        <v/>
      </c>
      <c r="AA21" s="399" t="str">
        <f>IF(AND(TRIM(Q21)="",TRIM(V21)=""),"",Q21+V21)</f>
        <v/>
      </c>
      <c r="AB21" s="379"/>
      <c r="AC21" s="380"/>
      <c r="AD21" s="381"/>
      <c r="AE21" s="437" t="str">
        <f>IF(TRIM(AD21)="", "", IF(VLOOKUP(AD21,'Footnotes list'!$D$9:$E$58,2,FALSE)=0,"",VLOOKUP(AD21,'Footnotes list'!$D$9:$E$58,2,FALSE) ) )</f>
        <v/>
      </c>
      <c r="AF21" s="378"/>
      <c r="AG21" s="379"/>
      <c r="AH21" s="380"/>
      <c r="AI21" s="381"/>
      <c r="AJ21" s="437" t="str">
        <f>IF(TRIM(AI21)="", "", IF(VLOOKUP(AI21,'Footnotes list'!$D$9:$E$58,2,FALSE)=0,"",VLOOKUP(AI21,'Footnotes list'!$D$9:$E$58,2,FALSE) ) )</f>
        <v/>
      </c>
      <c r="AK21" s="378"/>
      <c r="AL21" s="379"/>
      <c r="AM21" s="380"/>
      <c r="AN21" s="381"/>
      <c r="AO21" s="437" t="str">
        <f>IF(TRIM(AN21)="", "", IF(VLOOKUP(AN21,'Footnotes list'!$D$9:$E$58,2,FALSE)=0,"",VLOOKUP(AN21,'Footnotes list'!$D$9:$E$58,2,FALSE) ) )</f>
        <v/>
      </c>
      <c r="AP21" s="399" t="str">
        <f>IF(AND(TRIM(AF21)="",TRIM(AK21)=""),"",AF21+AK21)</f>
        <v/>
      </c>
      <c r="AQ21" s="379"/>
      <c r="AR21" s="380"/>
      <c r="AS21" s="381"/>
      <c r="AT21" s="437" t="str">
        <f>IF(TRIM(AS21)="", "", IF(VLOOKUP(AS21,'Footnotes list'!$D$9:$E$58,2,FALSE)=0,"",VLOOKUP(AS21,'Footnotes list'!$D$9:$E$58,2,FALSE) ) )</f>
        <v/>
      </c>
      <c r="AU21" s="438" t="str">
        <f>IF(AND(TRIM(G21)="",TRIM(L21)="",TRIM(AA21)="",TRIM(AP21)=""),"",SUM(G21,L21,AA21,AP21))</f>
        <v/>
      </c>
      <c r="AV21" s="379"/>
      <c r="AW21" s="380"/>
      <c r="AX21" s="381"/>
      <c r="AY21" s="437" t="str">
        <f>IF(TRIM(AX21)="", "", IF(VLOOKUP(AX21,'Footnotes list'!$D$9:$E$58,2,FALSE)=0,"",VLOOKUP(AX21,'Footnotes list'!$D$9:$E$58,2,FALSE) ) )</f>
        <v/>
      </c>
    </row>
    <row r="22" spans="2:51" ht="15" customHeight="1" thickBot="1" x14ac:dyDescent="0.4">
      <c r="B22" s="542"/>
      <c r="C22" s="427" t="s">
        <v>114</v>
      </c>
      <c r="D22" s="545"/>
      <c r="E22" s="422" t="s">
        <v>146</v>
      </c>
      <c r="F22" s="428" t="s">
        <v>234</v>
      </c>
      <c r="G22" s="394" t="str">
        <f>IF(AND(TRIM(G20)="",TRIM(G21)=""),"",G20+G21)</f>
        <v/>
      </c>
      <c r="H22" s="379"/>
      <c r="I22" s="380"/>
      <c r="J22" s="381"/>
      <c r="K22" s="437" t="str">
        <f>IF(TRIM(J22)="", "", IF(VLOOKUP(J22,'Footnotes list'!$D$9:$E$58,2,FALSE)=0,"",VLOOKUP(J22,'Footnotes list'!$D$9:$E$58,2,FALSE) ) )</f>
        <v/>
      </c>
      <c r="L22" s="394"/>
      <c r="M22" s="379"/>
      <c r="N22" s="380"/>
      <c r="O22" s="381"/>
      <c r="P22" s="437"/>
      <c r="Q22" s="394"/>
      <c r="R22" s="379"/>
      <c r="S22" s="380"/>
      <c r="T22" s="381"/>
      <c r="U22" s="437" t="str">
        <f>IF(TRIM(T22)="", "", IF(VLOOKUP(T22,'Footnotes list'!$D$9:$E$58,2,FALSE)=0,"",VLOOKUP(T22,'Footnotes list'!$D$9:$E$58,2,FALSE) ) )</f>
        <v/>
      </c>
      <c r="V22" s="394" t="str">
        <f>IF(AND(TRIM(V20)="",TRIM(V21)=""),"",V20+V21)</f>
        <v/>
      </c>
      <c r="W22" s="379"/>
      <c r="X22" s="380"/>
      <c r="Y22" s="381"/>
      <c r="Z22" s="437" t="str">
        <f>IF(TRIM(Y22)="", "", IF(VLOOKUP(Y22,'Footnotes list'!$D$9:$E$58,2,FALSE)=0,"",VLOOKUP(Y22,'Footnotes list'!$D$9:$E$58,2,FALSE) ) )</f>
        <v/>
      </c>
      <c r="AA22" s="394" t="str">
        <f>IF(AND(TRIM(AA20)="", TRIM(AA21)=""), "", SUM(AA20,AA21))</f>
        <v/>
      </c>
      <c r="AB22" s="379"/>
      <c r="AC22" s="380"/>
      <c r="AD22" s="381"/>
      <c r="AE22" s="437" t="str">
        <f>IF(TRIM(AD22)="", "", IF(VLOOKUP(AD22,'Footnotes list'!$D$9:$E$58,2,FALSE)=0,"",VLOOKUP(AD22,'Footnotes list'!$D$9:$E$58,2,FALSE) ) )</f>
        <v/>
      </c>
      <c r="AF22" s="394" t="str">
        <f>IF(AND(TRIM(AF20)="",TRIM(AF21)=""),"",AF20+AF21)</f>
        <v/>
      </c>
      <c r="AG22" s="379"/>
      <c r="AH22" s="380"/>
      <c r="AI22" s="381"/>
      <c r="AJ22" s="437" t="str">
        <f>IF(TRIM(AI22)="", "", IF(VLOOKUP(AI22,'Footnotes list'!$D$9:$E$58,2,FALSE)=0,"",VLOOKUP(AI22,'Footnotes list'!$D$9:$E$58,2,FALSE) ) )</f>
        <v/>
      </c>
      <c r="AK22" s="394" t="str">
        <f>IF(AND(TRIM(AK20)="",TRIM(AK21)=""),"",AK20+AK21)</f>
        <v/>
      </c>
      <c r="AL22" s="379"/>
      <c r="AM22" s="380"/>
      <c r="AN22" s="381"/>
      <c r="AO22" s="437" t="str">
        <f>IF(TRIM(AN22)="", "", IF(VLOOKUP(AN22,'Footnotes list'!$D$9:$E$58,2,FALSE)=0,"",VLOOKUP(AN22,'Footnotes list'!$D$9:$E$58,2,FALSE) ) )</f>
        <v/>
      </c>
      <c r="AP22" s="394" t="str">
        <f>IF(AND(TRIM(AP20)="", TRIM(AP21)=""), "", SUM(AP20,AP21))</f>
        <v/>
      </c>
      <c r="AQ22" s="379"/>
      <c r="AR22" s="380"/>
      <c r="AS22" s="381"/>
      <c r="AT22" s="437" t="str">
        <f>IF(TRIM(AS22)="", "", IF(VLOOKUP(AS22,'Footnotes list'!$D$9:$E$58,2,FALSE)=0,"",VLOOKUP(AS22,'Footnotes list'!$D$9:$E$58,2,FALSE) ) )</f>
        <v/>
      </c>
      <c r="AU22" s="394" t="str">
        <f>IF(AND(TRIM(AU20)="", TRIM(AU21)=""), "", SUM(AU20,AU21) )</f>
        <v/>
      </c>
      <c r="AV22" s="379"/>
      <c r="AW22" s="380"/>
      <c r="AX22" s="381"/>
      <c r="AY22" s="437" t="str">
        <f>IF(TRIM(AX22)="", "", IF(VLOOKUP(AX22,'Footnotes list'!$D$9:$E$58,2,FALSE)=0,"",VLOOKUP(AX22,'Footnotes list'!$D$9:$E$58,2,FALSE) ) )</f>
        <v/>
      </c>
    </row>
    <row r="23" spans="2:51" ht="15" customHeight="1" x14ac:dyDescent="0.35">
      <c r="B23" s="540" t="s">
        <v>115</v>
      </c>
      <c r="C23" s="416" t="s">
        <v>115</v>
      </c>
      <c r="D23" s="543" t="s">
        <v>157</v>
      </c>
      <c r="E23" s="417" t="s">
        <v>144</v>
      </c>
      <c r="F23" s="418" t="s">
        <v>151</v>
      </c>
      <c r="G23" s="372"/>
      <c r="H23" s="373"/>
      <c r="I23" s="374"/>
      <c r="J23" s="375"/>
      <c r="K23" s="433" t="str">
        <f>IF(TRIM(J23)="", "", IF(VLOOKUP(J23,'Footnotes list'!$D$9:$E$58,2,FALSE)=0,"",VLOOKUP(J23,'Footnotes list'!$D$9:$E$58,2,FALSE) ) )</f>
        <v/>
      </c>
      <c r="L23" s="372"/>
      <c r="M23" s="373"/>
      <c r="N23" s="374"/>
      <c r="O23" s="375"/>
      <c r="P23" s="433"/>
      <c r="Q23" s="372"/>
      <c r="R23" s="373"/>
      <c r="S23" s="374"/>
      <c r="T23" s="375"/>
      <c r="U23" s="433" t="str">
        <f>IF(TRIM(T23)="", "", IF(VLOOKUP(T23,'Footnotes list'!$D$9:$E$58,2,FALSE)=0,"",VLOOKUP(T23,'Footnotes list'!$D$9:$E$58,2,FALSE) ) )</f>
        <v/>
      </c>
      <c r="V23" s="372"/>
      <c r="W23" s="373"/>
      <c r="X23" s="374"/>
      <c r="Y23" s="375"/>
      <c r="Z23" s="433" t="str">
        <f>IF(TRIM(Y23)="", "", IF(VLOOKUP(Y23,'Footnotes list'!$D$9:$E$58,2,FALSE)=0,"",VLOOKUP(Y23,'Footnotes list'!$D$9:$E$58,2,FALSE) ) )</f>
        <v/>
      </c>
      <c r="AA23" s="400" t="str">
        <f>IF(AND(TRIM(Q23)="",TRIM(V23)=""),"",Q23+V23)</f>
        <v/>
      </c>
      <c r="AB23" s="373"/>
      <c r="AC23" s="374"/>
      <c r="AD23" s="375"/>
      <c r="AE23" s="433" t="str">
        <f>IF(TRIM(AD23)="", "", IF(VLOOKUP(AD23,'Footnotes list'!$D$9:$E$58,2,FALSE)=0,"",VLOOKUP(AD23,'Footnotes list'!$D$9:$E$58,2,FALSE) ) )</f>
        <v/>
      </c>
      <c r="AF23" s="372"/>
      <c r="AG23" s="373"/>
      <c r="AH23" s="374"/>
      <c r="AI23" s="375"/>
      <c r="AJ23" s="433" t="str">
        <f>IF(TRIM(AI23)="", "", IF(VLOOKUP(AI23,'Footnotes list'!$D$9:$E$58,2,FALSE)=0,"",VLOOKUP(AI23,'Footnotes list'!$D$9:$E$58,2,FALSE) ) )</f>
        <v/>
      </c>
      <c r="AK23" s="372"/>
      <c r="AL23" s="373"/>
      <c r="AM23" s="374"/>
      <c r="AN23" s="375"/>
      <c r="AO23" s="433" t="str">
        <f>IF(TRIM(AN23)="", "", IF(VLOOKUP(AN23,'Footnotes list'!$D$9:$E$58,2,FALSE)=0,"",VLOOKUP(AN23,'Footnotes list'!$D$9:$E$58,2,FALSE) ) )</f>
        <v/>
      </c>
      <c r="AP23" s="400" t="str">
        <f>IF(AND(TRIM(AF23)="",TRIM(AK23)=""),"",AF23+AK23)</f>
        <v/>
      </c>
      <c r="AQ23" s="373"/>
      <c r="AR23" s="374"/>
      <c r="AS23" s="375"/>
      <c r="AT23" s="433" t="str">
        <f>IF(TRIM(AS23)="", "", IF(VLOOKUP(AS23,'Footnotes list'!$D$9:$E$58,2,FALSE)=0,"",VLOOKUP(AS23,'Footnotes list'!$D$9:$E$58,2,FALSE) ) )</f>
        <v/>
      </c>
      <c r="AU23" s="400" t="str">
        <f>IF(AND(TRIM(G23)="",TRIM(L23)="",TRIM(AA23)="",TRIM(AP23)=""),"",SUM(G23,L23,AA23,AP23))</f>
        <v/>
      </c>
      <c r="AV23" s="373"/>
      <c r="AW23" s="374"/>
      <c r="AX23" s="375"/>
      <c r="AY23" s="433" t="str">
        <f>IF(TRIM(AX23)="", "", IF(VLOOKUP(AX23,'Footnotes list'!$D$9:$E$58,2,FALSE)=0,"",VLOOKUP(AX23,'Footnotes list'!$D$9:$E$58,2,FALSE) ) )</f>
        <v/>
      </c>
    </row>
    <row r="24" spans="2:51" ht="15" customHeight="1" x14ac:dyDescent="0.35">
      <c r="B24" s="541"/>
      <c r="C24" s="424" t="s">
        <v>115</v>
      </c>
      <c r="D24" s="544"/>
      <c r="E24" s="425" t="s">
        <v>145</v>
      </c>
      <c r="F24" s="426" t="s">
        <v>152</v>
      </c>
      <c r="G24" s="378"/>
      <c r="H24" s="379"/>
      <c r="I24" s="380"/>
      <c r="J24" s="381"/>
      <c r="K24" s="437" t="str">
        <f>IF(TRIM(J24)="", "", IF(VLOOKUP(J24,'Footnotes list'!$D$9:$E$58,2,FALSE)=0,"",VLOOKUP(J24,'Footnotes list'!$D$9:$E$58,2,FALSE) ) )</f>
        <v/>
      </c>
      <c r="L24" s="378"/>
      <c r="M24" s="379"/>
      <c r="N24" s="380"/>
      <c r="O24" s="381"/>
      <c r="P24" s="437" t="str">
        <f>IF(TRIM(O24)="", "", IF(VLOOKUP(O24,'Footnotes list'!$D$9:$E$58,2,FALSE)=0,"",VLOOKUP(O24,'Footnotes list'!$D$9:$E$58,2,FALSE) ) )</f>
        <v/>
      </c>
      <c r="Q24" s="378"/>
      <c r="R24" s="379"/>
      <c r="S24" s="380"/>
      <c r="T24" s="381"/>
      <c r="U24" s="437" t="str">
        <f>IF(TRIM(T24)="", "", IF(VLOOKUP(T24,'Footnotes list'!$D$9:$E$58,2,FALSE)=0,"",VLOOKUP(T24,'Footnotes list'!$D$9:$E$58,2,FALSE) ) )</f>
        <v/>
      </c>
      <c r="V24" s="378"/>
      <c r="W24" s="379"/>
      <c r="X24" s="380"/>
      <c r="Y24" s="381"/>
      <c r="Z24" s="437" t="str">
        <f>IF(TRIM(Y24)="", "", IF(VLOOKUP(Y24,'Footnotes list'!$D$9:$E$58,2,FALSE)=0,"",VLOOKUP(Y24,'Footnotes list'!$D$9:$E$58,2,FALSE) ) )</f>
        <v/>
      </c>
      <c r="AA24" s="399" t="str">
        <f>IF(AND(TRIM(Q24)="",TRIM(V24)=""),"",Q24+V24)</f>
        <v/>
      </c>
      <c r="AB24" s="379"/>
      <c r="AC24" s="380"/>
      <c r="AD24" s="381"/>
      <c r="AE24" s="437" t="str">
        <f>IF(TRIM(AD24)="", "", IF(VLOOKUP(AD24,'Footnotes list'!$D$9:$E$58,2,FALSE)=0,"",VLOOKUP(AD24,'Footnotes list'!$D$9:$E$58,2,FALSE) ) )</f>
        <v/>
      </c>
      <c r="AF24" s="378"/>
      <c r="AG24" s="379"/>
      <c r="AH24" s="380"/>
      <c r="AI24" s="381"/>
      <c r="AJ24" s="437" t="str">
        <f>IF(TRIM(AI24)="", "", IF(VLOOKUP(AI24,'Footnotes list'!$D$9:$E$58,2,FALSE)=0,"",VLOOKUP(AI24,'Footnotes list'!$D$9:$E$58,2,FALSE) ) )</f>
        <v/>
      </c>
      <c r="AK24" s="378"/>
      <c r="AL24" s="379"/>
      <c r="AM24" s="380"/>
      <c r="AN24" s="381"/>
      <c r="AO24" s="437" t="str">
        <f>IF(TRIM(AN24)="", "", IF(VLOOKUP(AN24,'Footnotes list'!$D$9:$E$58,2,FALSE)=0,"",VLOOKUP(AN24,'Footnotes list'!$D$9:$E$58,2,FALSE) ) )</f>
        <v/>
      </c>
      <c r="AP24" s="399" t="str">
        <f>IF(AND(TRIM(AF24)="",TRIM(AK24)=""),"",AF24+AK24)</f>
        <v/>
      </c>
      <c r="AQ24" s="379"/>
      <c r="AR24" s="380"/>
      <c r="AS24" s="381"/>
      <c r="AT24" s="437" t="str">
        <f>IF(TRIM(AS24)="", "", IF(VLOOKUP(AS24,'Footnotes list'!$D$9:$E$58,2,FALSE)=0,"",VLOOKUP(AS24,'Footnotes list'!$D$9:$E$58,2,FALSE) ) )</f>
        <v/>
      </c>
      <c r="AU24" s="438" t="str">
        <f>IF(AND(TRIM(G24)="",TRIM(L24)="",TRIM(AA24)="",TRIM(AP24)=""),"",SUM(G24,L24,AA24,AP24))</f>
        <v/>
      </c>
      <c r="AV24" s="379"/>
      <c r="AW24" s="380"/>
      <c r="AX24" s="381"/>
      <c r="AY24" s="437" t="str">
        <f>IF(TRIM(AX24)="", "", IF(VLOOKUP(AX24,'Footnotes list'!$D$9:$E$58,2,FALSE)=0,"",VLOOKUP(AX24,'Footnotes list'!$D$9:$E$58,2,FALSE) ) )</f>
        <v/>
      </c>
    </row>
    <row r="25" spans="2:51" ht="15" customHeight="1" thickBot="1" x14ac:dyDescent="0.4">
      <c r="B25" s="542"/>
      <c r="C25" s="427" t="s">
        <v>115</v>
      </c>
      <c r="D25" s="545"/>
      <c r="E25" s="422" t="s">
        <v>146</v>
      </c>
      <c r="F25" s="428" t="s">
        <v>234</v>
      </c>
      <c r="G25" s="394" t="str">
        <f>IF(AND(TRIM(G23)="",TRIM(G24)=""),"",G23+G24)</f>
        <v/>
      </c>
      <c r="H25" s="379"/>
      <c r="I25" s="380"/>
      <c r="J25" s="381"/>
      <c r="K25" s="437" t="str">
        <f>IF(TRIM(J25)="", "", IF(VLOOKUP(J25,'Footnotes list'!$D$9:$E$58,2,FALSE)=0,"",VLOOKUP(J25,'Footnotes list'!$D$9:$E$58,2,FALSE) ) )</f>
        <v/>
      </c>
      <c r="L25" s="394" t="str">
        <f>IF(AND(TRIM(L23)="",TRIM(L24)=""),"",L23+L24)</f>
        <v/>
      </c>
      <c r="M25" s="379"/>
      <c r="N25" s="380"/>
      <c r="O25" s="381"/>
      <c r="P25" s="437" t="str">
        <f>IF(TRIM(O25)="", "", IF(VLOOKUP(O25,'Footnotes list'!$D$9:$E$58,2,FALSE)=0,"",VLOOKUP(O25,'Footnotes list'!$D$9:$E$58,2,FALSE) ) )</f>
        <v/>
      </c>
      <c r="Q25" s="394" t="str">
        <f>IF(AND(TRIM(Q23)="",TRIM(Q24)=""),"",Q23+Q24)</f>
        <v/>
      </c>
      <c r="R25" s="379"/>
      <c r="S25" s="380"/>
      <c r="T25" s="381"/>
      <c r="U25" s="437" t="str">
        <f>IF(TRIM(T25)="", "", IF(VLOOKUP(T25,'Footnotes list'!$D$9:$E$58,2,FALSE)=0,"",VLOOKUP(T25,'Footnotes list'!$D$9:$E$58,2,FALSE) ) )</f>
        <v/>
      </c>
      <c r="V25" s="394" t="str">
        <f>IF(AND(TRIM(V23)="",TRIM(V24)=""),"",V23+V24)</f>
        <v/>
      </c>
      <c r="W25" s="379"/>
      <c r="X25" s="380"/>
      <c r="Y25" s="381"/>
      <c r="Z25" s="437" t="str">
        <f>IF(TRIM(Y25)="", "", IF(VLOOKUP(Y25,'Footnotes list'!$D$9:$E$58,2,FALSE)=0,"",VLOOKUP(Y25,'Footnotes list'!$D$9:$E$58,2,FALSE) ) )</f>
        <v/>
      </c>
      <c r="AA25" s="394" t="str">
        <f>IF(AND(TRIM(AA23)="", TRIM(AA24)=""), "", SUM(AA23,AA24))</f>
        <v/>
      </c>
      <c r="AB25" s="379"/>
      <c r="AC25" s="380"/>
      <c r="AD25" s="381"/>
      <c r="AE25" s="437" t="str">
        <f>IF(TRIM(AD25)="", "", IF(VLOOKUP(AD25,'Footnotes list'!$D$9:$E$58,2,FALSE)=0,"",VLOOKUP(AD25,'Footnotes list'!$D$9:$E$58,2,FALSE) ) )</f>
        <v/>
      </c>
      <c r="AF25" s="394" t="str">
        <f>IF(AND(TRIM(AF23)="",TRIM(AF24)=""),"",AF23+AF24)</f>
        <v/>
      </c>
      <c r="AG25" s="379"/>
      <c r="AH25" s="380"/>
      <c r="AI25" s="381"/>
      <c r="AJ25" s="437" t="str">
        <f>IF(TRIM(AI25)="", "", IF(VLOOKUP(AI25,'Footnotes list'!$D$9:$E$58,2,FALSE)=0,"",VLOOKUP(AI25,'Footnotes list'!$D$9:$E$58,2,FALSE) ) )</f>
        <v/>
      </c>
      <c r="AK25" s="394" t="str">
        <f>IF(AND(TRIM(AK23)="",TRIM(AK24)=""),"",AK23+AK24)</f>
        <v/>
      </c>
      <c r="AL25" s="379"/>
      <c r="AM25" s="380"/>
      <c r="AN25" s="381"/>
      <c r="AO25" s="437" t="str">
        <f>IF(TRIM(AN25)="", "", IF(VLOOKUP(AN25,'Footnotes list'!$D$9:$E$58,2,FALSE)=0,"",VLOOKUP(AN25,'Footnotes list'!$D$9:$E$58,2,FALSE) ) )</f>
        <v/>
      </c>
      <c r="AP25" s="394" t="str">
        <f>IF(AND(TRIM(AP23)="", TRIM(AP24)=""), "", SUM(AP23,AP24))</f>
        <v/>
      </c>
      <c r="AQ25" s="379"/>
      <c r="AR25" s="380"/>
      <c r="AS25" s="381"/>
      <c r="AT25" s="437" t="str">
        <f>IF(TRIM(AS25)="", "", IF(VLOOKUP(AS25,'Footnotes list'!$D$9:$E$58,2,FALSE)=0,"",VLOOKUP(AS25,'Footnotes list'!$D$9:$E$58,2,FALSE) ) )</f>
        <v/>
      </c>
      <c r="AU25" s="394" t="str">
        <f>IF(AND(TRIM(AU23)="", TRIM(AU24)=""), "", SUM(AU23,AU24) )</f>
        <v/>
      </c>
      <c r="AV25" s="379"/>
      <c r="AW25" s="380"/>
      <c r="AX25" s="381"/>
      <c r="AY25" s="437" t="str">
        <f>IF(TRIM(AX25)="", "", IF(VLOOKUP(AX25,'Footnotes list'!$D$9:$E$58,2,FALSE)=0,"",VLOOKUP(AX25,'Footnotes list'!$D$9:$E$58,2,FALSE) ) )</f>
        <v/>
      </c>
    </row>
    <row r="26" spans="2:51" ht="15" customHeight="1" x14ac:dyDescent="0.35">
      <c r="B26" s="540" t="s">
        <v>116</v>
      </c>
      <c r="C26" s="416" t="s">
        <v>116</v>
      </c>
      <c r="D26" s="543" t="s">
        <v>83</v>
      </c>
      <c r="E26" s="417" t="s">
        <v>144</v>
      </c>
      <c r="F26" s="418" t="s">
        <v>151</v>
      </c>
      <c r="G26" s="372"/>
      <c r="H26" s="373"/>
      <c r="I26" s="374"/>
      <c r="J26" s="375"/>
      <c r="K26" s="433" t="str">
        <f>IF(TRIM(J26)="", "", IF(VLOOKUP(J26,'Footnotes list'!$D$9:$E$58,2,FALSE)=0,"",VLOOKUP(J26,'Footnotes list'!$D$9:$E$58,2,FALSE) ) )</f>
        <v/>
      </c>
      <c r="L26" s="372"/>
      <c r="M26" s="373"/>
      <c r="N26" s="374"/>
      <c r="O26" s="375"/>
      <c r="P26" s="433" t="str">
        <f>IF(TRIM(O26)="", "", IF(VLOOKUP(O26,'Footnotes list'!$D$9:$E$58,2,FALSE)=0,"",VLOOKUP(O26,'Footnotes list'!$D$9:$E$58,2,FALSE) ) )</f>
        <v/>
      </c>
      <c r="Q26" s="372"/>
      <c r="R26" s="373"/>
      <c r="S26" s="374"/>
      <c r="T26" s="375"/>
      <c r="U26" s="433" t="str">
        <f>IF(TRIM(T26)="", "", IF(VLOOKUP(T26,'Footnotes list'!$D$9:$E$58,2,FALSE)=0,"",VLOOKUP(T26,'Footnotes list'!$D$9:$E$58,2,FALSE) ) )</f>
        <v/>
      </c>
      <c r="V26" s="372"/>
      <c r="W26" s="373"/>
      <c r="X26" s="374"/>
      <c r="Y26" s="375"/>
      <c r="Z26" s="433" t="str">
        <f>IF(TRIM(Y26)="", "", IF(VLOOKUP(Y26,'Footnotes list'!$D$9:$E$58,2,FALSE)=0,"",VLOOKUP(Y26,'Footnotes list'!$D$9:$E$58,2,FALSE) ) )</f>
        <v/>
      </c>
      <c r="AA26" s="400" t="str">
        <f>IF(AND(TRIM(Q26)="",TRIM(V26)=""),"",Q26+V26)</f>
        <v/>
      </c>
      <c r="AB26" s="373"/>
      <c r="AC26" s="374"/>
      <c r="AD26" s="375"/>
      <c r="AE26" s="433" t="str">
        <f>IF(TRIM(AD26)="", "", IF(VLOOKUP(AD26,'Footnotes list'!$D$9:$E$58,2,FALSE)=0,"",VLOOKUP(AD26,'Footnotes list'!$D$9:$E$58,2,FALSE) ) )</f>
        <v/>
      </c>
      <c r="AF26" s="372"/>
      <c r="AG26" s="373"/>
      <c r="AH26" s="374"/>
      <c r="AI26" s="375"/>
      <c r="AJ26" s="433" t="str">
        <f>IF(TRIM(AI26)="", "", IF(VLOOKUP(AI26,'Footnotes list'!$D$9:$E$58,2,FALSE)=0,"",VLOOKUP(AI26,'Footnotes list'!$D$9:$E$58,2,FALSE) ) )</f>
        <v/>
      </c>
      <c r="AK26" s="372"/>
      <c r="AL26" s="373"/>
      <c r="AM26" s="374"/>
      <c r="AN26" s="375"/>
      <c r="AO26" s="433" t="str">
        <f>IF(TRIM(AN26)="", "", IF(VLOOKUP(AN26,'Footnotes list'!$D$9:$E$58,2,FALSE)=0,"",VLOOKUP(AN26,'Footnotes list'!$D$9:$E$58,2,FALSE) ) )</f>
        <v/>
      </c>
      <c r="AP26" s="400" t="str">
        <f>IF(AND(TRIM(AF26)="",TRIM(AK26)=""),"",AF26+AK26)</f>
        <v/>
      </c>
      <c r="AQ26" s="373"/>
      <c r="AR26" s="374"/>
      <c r="AS26" s="375"/>
      <c r="AT26" s="433" t="str">
        <f>IF(TRIM(AS26)="", "", IF(VLOOKUP(AS26,'Footnotes list'!$D$9:$E$58,2,FALSE)=0,"",VLOOKUP(AS26,'Footnotes list'!$D$9:$E$58,2,FALSE) ) )</f>
        <v/>
      </c>
      <c r="AU26" s="400" t="str">
        <f>IF(AND(TRIM(G26)="",TRIM(L26)="",TRIM(AA26)="",TRIM(AP26)=""),"",SUM(G26,L26,AA26,AP26))</f>
        <v/>
      </c>
      <c r="AV26" s="373"/>
      <c r="AW26" s="374"/>
      <c r="AX26" s="375"/>
      <c r="AY26" s="433" t="str">
        <f>IF(TRIM(AX26)="", "", IF(VLOOKUP(AX26,'Footnotes list'!$D$9:$E$58,2,FALSE)=0,"",VLOOKUP(AX26,'Footnotes list'!$D$9:$E$58,2,FALSE) ) )</f>
        <v/>
      </c>
    </row>
    <row r="27" spans="2:51" ht="15" customHeight="1" x14ac:dyDescent="0.35">
      <c r="B27" s="541"/>
      <c r="C27" s="424" t="s">
        <v>116</v>
      </c>
      <c r="D27" s="544"/>
      <c r="E27" s="425" t="s">
        <v>145</v>
      </c>
      <c r="F27" s="426" t="s">
        <v>152</v>
      </c>
      <c r="G27" s="378"/>
      <c r="H27" s="379"/>
      <c r="I27" s="380"/>
      <c r="J27" s="381"/>
      <c r="K27" s="437" t="str">
        <f>IF(TRIM(J27)="", "", IF(VLOOKUP(J27,'Footnotes list'!$D$9:$E$58,2,FALSE)=0,"",VLOOKUP(J27,'Footnotes list'!$D$9:$E$58,2,FALSE) ) )</f>
        <v/>
      </c>
      <c r="L27" s="378"/>
      <c r="M27" s="379"/>
      <c r="N27" s="380"/>
      <c r="O27" s="381"/>
      <c r="P27" s="437" t="str">
        <f>IF(TRIM(O27)="", "", IF(VLOOKUP(O27,'Footnotes list'!$D$9:$E$58,2,FALSE)=0,"",VLOOKUP(O27,'Footnotes list'!$D$9:$E$58,2,FALSE) ) )</f>
        <v/>
      </c>
      <c r="Q27" s="378"/>
      <c r="R27" s="379"/>
      <c r="S27" s="380"/>
      <c r="T27" s="381"/>
      <c r="U27" s="437" t="str">
        <f>IF(TRIM(T27)="", "", IF(VLOOKUP(T27,'Footnotes list'!$D$9:$E$58,2,FALSE)=0,"",VLOOKUP(T27,'Footnotes list'!$D$9:$E$58,2,FALSE) ) )</f>
        <v/>
      </c>
      <c r="V27" s="378"/>
      <c r="W27" s="379"/>
      <c r="X27" s="380"/>
      <c r="Y27" s="381"/>
      <c r="Z27" s="437" t="str">
        <f>IF(TRIM(Y27)="", "", IF(VLOOKUP(Y27,'Footnotes list'!$D$9:$E$58,2,FALSE)=0,"",VLOOKUP(Y27,'Footnotes list'!$D$9:$E$58,2,FALSE) ) )</f>
        <v/>
      </c>
      <c r="AA27" s="399" t="str">
        <f>IF(AND(TRIM(Q27)="",TRIM(V27)=""),"",Q27+V27)</f>
        <v/>
      </c>
      <c r="AB27" s="379"/>
      <c r="AC27" s="380"/>
      <c r="AD27" s="381"/>
      <c r="AE27" s="437" t="str">
        <f>IF(TRIM(AD27)="", "", IF(VLOOKUP(AD27,'Footnotes list'!$D$9:$E$58,2,FALSE)=0,"",VLOOKUP(AD27,'Footnotes list'!$D$9:$E$58,2,FALSE) ) )</f>
        <v/>
      </c>
      <c r="AF27" s="378"/>
      <c r="AG27" s="379"/>
      <c r="AH27" s="380"/>
      <c r="AI27" s="381"/>
      <c r="AJ27" s="437" t="str">
        <f>IF(TRIM(AI27)="", "", IF(VLOOKUP(AI27,'Footnotes list'!$D$9:$E$58,2,FALSE)=0,"",VLOOKUP(AI27,'Footnotes list'!$D$9:$E$58,2,FALSE) ) )</f>
        <v/>
      </c>
      <c r="AK27" s="378"/>
      <c r="AL27" s="379"/>
      <c r="AM27" s="380"/>
      <c r="AN27" s="381"/>
      <c r="AO27" s="437" t="str">
        <f>IF(TRIM(AN27)="", "", IF(VLOOKUP(AN27,'Footnotes list'!$D$9:$E$58,2,FALSE)=0,"",VLOOKUP(AN27,'Footnotes list'!$D$9:$E$58,2,FALSE) ) )</f>
        <v/>
      </c>
      <c r="AP27" s="399" t="str">
        <f>IF(AND(TRIM(AF27)="",TRIM(AK27)=""),"",AF27+AK27)</f>
        <v/>
      </c>
      <c r="AQ27" s="379"/>
      <c r="AR27" s="380"/>
      <c r="AS27" s="381"/>
      <c r="AT27" s="437" t="str">
        <f>IF(TRIM(AS27)="", "", IF(VLOOKUP(AS27,'Footnotes list'!$D$9:$E$58,2,FALSE)=0,"",VLOOKUP(AS27,'Footnotes list'!$D$9:$E$58,2,FALSE) ) )</f>
        <v/>
      </c>
      <c r="AU27" s="438" t="str">
        <f>IF(AND(TRIM(G27)="",TRIM(L27)="",TRIM(AA27)="",TRIM(AP27)=""),"",SUM(G27,L27,AA27,AP27))</f>
        <v/>
      </c>
      <c r="AV27" s="379"/>
      <c r="AW27" s="380"/>
      <c r="AX27" s="381"/>
      <c r="AY27" s="437" t="str">
        <f>IF(TRIM(AX27)="", "", IF(VLOOKUP(AX27,'Footnotes list'!$D$9:$E$58,2,FALSE)=0,"",VLOOKUP(AX27,'Footnotes list'!$D$9:$E$58,2,FALSE) ) )</f>
        <v/>
      </c>
    </row>
    <row r="28" spans="2:51" ht="15" customHeight="1" thickBot="1" x14ac:dyDescent="0.4">
      <c r="B28" s="542"/>
      <c r="C28" s="427" t="s">
        <v>116</v>
      </c>
      <c r="D28" s="545"/>
      <c r="E28" s="422" t="s">
        <v>146</v>
      </c>
      <c r="F28" s="428" t="s">
        <v>234</v>
      </c>
      <c r="G28" s="394" t="str">
        <f>IF(AND(TRIM(G26)="",TRIM(G27)=""),"",G26+G27)</f>
        <v/>
      </c>
      <c r="H28" s="379"/>
      <c r="I28" s="380"/>
      <c r="J28" s="381"/>
      <c r="K28" s="437" t="str">
        <f>IF(TRIM(J28)="", "", IF(VLOOKUP(J28,'Footnotes list'!$D$9:$E$58,2,FALSE)=0,"",VLOOKUP(J28,'Footnotes list'!$D$9:$E$58,2,FALSE) ) )</f>
        <v/>
      </c>
      <c r="L28" s="394" t="str">
        <f>IF(AND(TRIM(L26)="",TRIM(L27)=""),"",L26+L27)</f>
        <v/>
      </c>
      <c r="M28" s="379"/>
      <c r="N28" s="380"/>
      <c r="O28" s="381"/>
      <c r="P28" s="437" t="str">
        <f>IF(TRIM(O28)="", "", IF(VLOOKUP(O28,'Footnotes list'!$D$9:$E$58,2,FALSE)=0,"",VLOOKUP(O28,'Footnotes list'!$D$9:$E$58,2,FALSE) ) )</f>
        <v/>
      </c>
      <c r="Q28" s="394" t="str">
        <f>IF(AND(TRIM(Q26)="",TRIM(Q27)=""),"",Q26+Q27)</f>
        <v/>
      </c>
      <c r="R28" s="379"/>
      <c r="S28" s="380"/>
      <c r="T28" s="381"/>
      <c r="U28" s="437" t="str">
        <f>IF(TRIM(T28)="", "", IF(VLOOKUP(T28,'Footnotes list'!$D$9:$E$58,2,FALSE)=0,"",VLOOKUP(T28,'Footnotes list'!$D$9:$E$58,2,FALSE) ) )</f>
        <v/>
      </c>
      <c r="V28" s="394" t="str">
        <f>IF(AND(TRIM(V26)="",TRIM(V27)=""),"",V26+V27)</f>
        <v/>
      </c>
      <c r="W28" s="379"/>
      <c r="X28" s="380"/>
      <c r="Y28" s="381"/>
      <c r="Z28" s="437" t="str">
        <f>IF(TRIM(Y28)="", "", IF(VLOOKUP(Y28,'Footnotes list'!$D$9:$E$58,2,FALSE)=0,"",VLOOKUP(Y28,'Footnotes list'!$D$9:$E$58,2,FALSE) ) )</f>
        <v/>
      </c>
      <c r="AA28" s="394" t="str">
        <f>IF(AND(TRIM(AA26)="", TRIM(AA27)=""), "", SUM(AA26,AA27))</f>
        <v/>
      </c>
      <c r="AB28" s="379"/>
      <c r="AC28" s="380"/>
      <c r="AD28" s="381"/>
      <c r="AE28" s="437" t="str">
        <f>IF(TRIM(AD28)="", "", IF(VLOOKUP(AD28,'Footnotes list'!$D$9:$E$58,2,FALSE)=0,"",VLOOKUP(AD28,'Footnotes list'!$D$9:$E$58,2,FALSE) ) )</f>
        <v/>
      </c>
      <c r="AF28" s="394" t="str">
        <f>IF(AND(TRIM(AF26)="",TRIM(AF27)=""),"",AF26+AF27)</f>
        <v/>
      </c>
      <c r="AG28" s="379"/>
      <c r="AH28" s="380"/>
      <c r="AI28" s="381"/>
      <c r="AJ28" s="437" t="str">
        <f>IF(TRIM(AI28)="", "", IF(VLOOKUP(AI28,'Footnotes list'!$D$9:$E$58,2,FALSE)=0,"",VLOOKUP(AI28,'Footnotes list'!$D$9:$E$58,2,FALSE) ) )</f>
        <v/>
      </c>
      <c r="AK28" s="394" t="str">
        <f>IF(AND(TRIM(AK26)="",TRIM(AK27)=""),"",AK26+AK27)</f>
        <v/>
      </c>
      <c r="AL28" s="379"/>
      <c r="AM28" s="380"/>
      <c r="AN28" s="381"/>
      <c r="AO28" s="437" t="str">
        <f>IF(TRIM(AN28)="", "", IF(VLOOKUP(AN28,'Footnotes list'!$D$9:$E$58,2,FALSE)=0,"",VLOOKUP(AN28,'Footnotes list'!$D$9:$E$58,2,FALSE) ) )</f>
        <v/>
      </c>
      <c r="AP28" s="394" t="str">
        <f>IF(AND(TRIM(AP26)="", TRIM(AP27)=""), "", SUM(AP26,AP27))</f>
        <v/>
      </c>
      <c r="AQ28" s="379"/>
      <c r="AR28" s="380"/>
      <c r="AS28" s="381"/>
      <c r="AT28" s="437" t="str">
        <f>IF(TRIM(AS28)="", "", IF(VLOOKUP(AS28,'Footnotes list'!$D$9:$E$58,2,FALSE)=0,"",VLOOKUP(AS28,'Footnotes list'!$D$9:$E$58,2,FALSE) ) )</f>
        <v/>
      </c>
      <c r="AU28" s="394" t="str">
        <f>IF(AND(TRIM(AU26)="", TRIM(AU27)=""), "", SUM(AU26,AU27) )</f>
        <v/>
      </c>
      <c r="AV28" s="379"/>
      <c r="AW28" s="380"/>
      <c r="AX28" s="381"/>
      <c r="AY28" s="437" t="str">
        <f>IF(TRIM(AX28)="", "", IF(VLOOKUP(AX28,'Footnotes list'!$D$9:$E$58,2,FALSE)=0,"",VLOOKUP(AX28,'Footnotes list'!$D$9:$E$58,2,FALSE) ) )</f>
        <v/>
      </c>
    </row>
    <row r="29" spans="2:51" ht="15" customHeight="1" thickBot="1" x14ac:dyDescent="0.4">
      <c r="B29" s="540" t="s">
        <v>117</v>
      </c>
      <c r="C29" s="429"/>
      <c r="D29" s="543" t="s">
        <v>84</v>
      </c>
      <c r="E29" s="429"/>
      <c r="F29" s="420" t="s">
        <v>233</v>
      </c>
      <c r="G29" s="439"/>
      <c r="H29" s="440"/>
      <c r="I29" s="440"/>
      <c r="J29" s="440"/>
      <c r="K29" s="441"/>
      <c r="L29" s="439"/>
      <c r="M29" s="440"/>
      <c r="N29" s="440"/>
      <c r="O29" s="440"/>
      <c r="P29" s="441"/>
      <c r="Q29" s="439"/>
      <c r="R29" s="440"/>
      <c r="S29" s="440"/>
      <c r="T29" s="440"/>
      <c r="U29" s="441"/>
      <c r="V29" s="439"/>
      <c r="W29" s="440"/>
      <c r="X29" s="440"/>
      <c r="Y29" s="440"/>
      <c r="Z29" s="441"/>
      <c r="AA29" s="439"/>
      <c r="AB29" s="440"/>
      <c r="AC29" s="440"/>
      <c r="AD29" s="440"/>
      <c r="AE29" s="441"/>
      <c r="AF29" s="439"/>
      <c r="AG29" s="440"/>
      <c r="AH29" s="440"/>
      <c r="AI29" s="440"/>
      <c r="AJ29" s="441"/>
      <c r="AK29" s="439"/>
      <c r="AL29" s="440"/>
      <c r="AM29" s="440"/>
      <c r="AN29" s="440"/>
      <c r="AO29" s="441"/>
      <c r="AP29" s="439"/>
      <c r="AQ29" s="440"/>
      <c r="AR29" s="440"/>
      <c r="AS29" s="440"/>
      <c r="AT29" s="441"/>
      <c r="AU29" s="439"/>
      <c r="AV29" s="440"/>
      <c r="AW29" s="440"/>
      <c r="AX29" s="440"/>
      <c r="AY29" s="441"/>
    </row>
    <row r="30" spans="2:51" ht="15" customHeight="1" x14ac:dyDescent="0.35">
      <c r="B30" s="541"/>
      <c r="C30" s="424" t="s">
        <v>117</v>
      </c>
      <c r="D30" s="544"/>
      <c r="E30" s="425" t="s">
        <v>145</v>
      </c>
      <c r="F30" s="426" t="s">
        <v>152</v>
      </c>
      <c r="G30" s="378"/>
      <c r="H30" s="379"/>
      <c r="I30" s="380"/>
      <c r="J30" s="381"/>
      <c r="K30" s="437" t="str">
        <f>IF(TRIM(J30)="", "", IF(VLOOKUP(J30,'Footnotes list'!$D$9:$E$58,2,FALSE)=0,"",VLOOKUP(J30,'Footnotes list'!$D$9:$E$58,2,FALSE) ) )</f>
        <v/>
      </c>
      <c r="L30" s="378"/>
      <c r="M30" s="379"/>
      <c r="N30" s="380"/>
      <c r="O30" s="381"/>
      <c r="P30" s="437" t="str">
        <f>IF(TRIM(O30)="", "", IF(VLOOKUP(O30,'Footnotes list'!$D$9:$E$58,2,FALSE)=0,"",VLOOKUP(O30,'Footnotes list'!$D$9:$E$58,2,FALSE) ) )</f>
        <v/>
      </c>
      <c r="Q30" s="378"/>
      <c r="R30" s="379"/>
      <c r="S30" s="380"/>
      <c r="T30" s="381"/>
      <c r="U30" s="437" t="str">
        <f>IF(TRIM(T30)="", "", IF(VLOOKUP(T30,'Footnotes list'!$D$9:$E$58,2,FALSE)=0,"",VLOOKUP(T30,'Footnotes list'!$D$9:$E$58,2,FALSE) ) )</f>
        <v/>
      </c>
      <c r="V30" s="378"/>
      <c r="W30" s="379"/>
      <c r="X30" s="380"/>
      <c r="Y30" s="381"/>
      <c r="Z30" s="437" t="str">
        <f>IF(TRIM(Y30)="", "", IF(VLOOKUP(Y30,'Footnotes list'!$D$9:$E$58,2,FALSE)=0,"",VLOOKUP(Y30,'Footnotes list'!$D$9:$E$58,2,FALSE) ) )</f>
        <v/>
      </c>
      <c r="AA30" s="399" t="str">
        <f>IF(AND(TRIM(Q30)="",TRIM(V30)=""),"",Q30+V30)</f>
        <v/>
      </c>
      <c r="AB30" s="379"/>
      <c r="AC30" s="380"/>
      <c r="AD30" s="381"/>
      <c r="AE30" s="437" t="str">
        <f>IF(TRIM(AD30)="", "", IF(VLOOKUP(AD30,'Footnotes list'!$D$9:$E$58,2,FALSE)=0,"",VLOOKUP(AD30,'Footnotes list'!$D$9:$E$58,2,FALSE) ) )</f>
        <v/>
      </c>
      <c r="AF30" s="378"/>
      <c r="AG30" s="379"/>
      <c r="AH30" s="380"/>
      <c r="AI30" s="381"/>
      <c r="AJ30" s="437" t="str">
        <f>IF(TRIM(AI30)="", "", IF(VLOOKUP(AI30,'Footnotes list'!$D$9:$E$58,2,FALSE)=0,"",VLOOKUP(AI30,'Footnotes list'!$D$9:$E$58,2,FALSE) ) )</f>
        <v/>
      </c>
      <c r="AK30" s="378"/>
      <c r="AL30" s="379"/>
      <c r="AM30" s="380"/>
      <c r="AN30" s="381"/>
      <c r="AO30" s="437" t="str">
        <f>IF(TRIM(AN30)="", "", IF(VLOOKUP(AN30,'Footnotes list'!$D$9:$E$58,2,FALSE)=0,"",VLOOKUP(AN30,'Footnotes list'!$D$9:$E$58,2,FALSE) ) )</f>
        <v/>
      </c>
      <c r="AP30" s="399" t="str">
        <f>IF(AND(TRIM(AF30)="",TRIM(AK30)=""),"",AF30+AK30)</f>
        <v/>
      </c>
      <c r="AQ30" s="379"/>
      <c r="AR30" s="380"/>
      <c r="AS30" s="381"/>
      <c r="AT30" s="437" t="str">
        <f>IF(TRIM(AS30)="", "", IF(VLOOKUP(AS30,'Footnotes list'!$D$9:$E$58,2,FALSE)=0,"",VLOOKUP(AS30,'Footnotes list'!$D$9:$E$58,2,FALSE) ) )</f>
        <v/>
      </c>
      <c r="AU30" s="438" t="str">
        <f>IF(AND(TRIM(G30)="",TRIM(L30)="",TRIM(AA30)="",TRIM(AP30)=""),"",SUM(G30,L30,AA30,AP30))</f>
        <v/>
      </c>
      <c r="AV30" s="379"/>
      <c r="AW30" s="380"/>
      <c r="AX30" s="381"/>
      <c r="AY30" s="437" t="str">
        <f>IF(TRIM(AX30)="", "", IF(VLOOKUP(AX30,'Footnotes list'!$D$9:$E$58,2,FALSE)=0,"",VLOOKUP(AX30,'Footnotes list'!$D$9:$E$58,2,FALSE) ) )</f>
        <v/>
      </c>
    </row>
    <row r="31" spans="2:51" ht="15" customHeight="1" thickBot="1" x14ac:dyDescent="0.4">
      <c r="B31" s="542"/>
      <c r="C31" s="427" t="s">
        <v>117</v>
      </c>
      <c r="D31" s="545"/>
      <c r="E31" s="422" t="s">
        <v>146</v>
      </c>
      <c r="F31" s="428" t="s">
        <v>234</v>
      </c>
      <c r="G31" s="394" t="str">
        <f>IF(AND(TRIM(G29)="",TRIM(G30)=""),"",G29+G30)</f>
        <v/>
      </c>
      <c r="H31" s="379"/>
      <c r="I31" s="380"/>
      <c r="J31" s="381"/>
      <c r="K31" s="437" t="str">
        <f>IF(TRIM(J31)="", "", IF(VLOOKUP(J31,'Footnotes list'!$D$9:$E$58,2,FALSE)=0,"",VLOOKUP(J31,'Footnotes list'!$D$9:$E$58,2,FALSE) ) )</f>
        <v/>
      </c>
      <c r="L31" s="394" t="str">
        <f>IF(AND(TRIM(L29)="",TRIM(L30)=""),"",L29+L30)</f>
        <v/>
      </c>
      <c r="M31" s="379"/>
      <c r="N31" s="380"/>
      <c r="O31" s="381"/>
      <c r="P31" s="437" t="str">
        <f>IF(TRIM(O31)="", "", IF(VLOOKUP(O31,'Footnotes list'!$D$9:$E$58,2,FALSE)=0,"",VLOOKUP(O31,'Footnotes list'!$D$9:$E$58,2,FALSE) ) )</f>
        <v/>
      </c>
      <c r="Q31" s="394" t="str">
        <f>IF(AND(TRIM(Q29)="",TRIM(Q30)=""),"",Q29+Q30)</f>
        <v/>
      </c>
      <c r="R31" s="379"/>
      <c r="S31" s="380"/>
      <c r="T31" s="381"/>
      <c r="U31" s="437" t="str">
        <f>IF(TRIM(T31)="", "", IF(VLOOKUP(T31,'Footnotes list'!$D$9:$E$58,2,FALSE)=0,"",VLOOKUP(T31,'Footnotes list'!$D$9:$E$58,2,FALSE) ) )</f>
        <v/>
      </c>
      <c r="V31" s="394" t="str">
        <f>IF(AND(TRIM(V29)="",TRIM(V30)=""),"",V29+V30)</f>
        <v/>
      </c>
      <c r="W31" s="379"/>
      <c r="X31" s="380"/>
      <c r="Y31" s="381"/>
      <c r="Z31" s="437" t="str">
        <f>IF(TRIM(Y31)="", "", IF(VLOOKUP(Y31,'Footnotes list'!$D$9:$E$58,2,FALSE)=0,"",VLOOKUP(Y31,'Footnotes list'!$D$9:$E$58,2,FALSE) ) )</f>
        <v/>
      </c>
      <c r="AA31" s="394" t="str">
        <f>IF(AND(TRIM(AA29)="", TRIM(AA30)=""), "", SUM(AA29,AA30))</f>
        <v/>
      </c>
      <c r="AB31" s="379"/>
      <c r="AC31" s="380"/>
      <c r="AD31" s="381"/>
      <c r="AE31" s="437" t="str">
        <f>IF(TRIM(AD31)="", "", IF(VLOOKUP(AD31,'Footnotes list'!$D$9:$E$58,2,FALSE)=0,"",VLOOKUP(AD31,'Footnotes list'!$D$9:$E$58,2,FALSE) ) )</f>
        <v/>
      </c>
      <c r="AF31" s="394" t="str">
        <f>IF(AND(TRIM(AF29)="",TRIM(AF30)=""),"",AF29+AF30)</f>
        <v/>
      </c>
      <c r="AG31" s="379"/>
      <c r="AH31" s="380"/>
      <c r="AI31" s="381"/>
      <c r="AJ31" s="437" t="str">
        <f>IF(TRIM(AI31)="", "", IF(VLOOKUP(AI31,'Footnotes list'!$D$9:$E$58,2,FALSE)=0,"",VLOOKUP(AI31,'Footnotes list'!$D$9:$E$58,2,FALSE) ) )</f>
        <v/>
      </c>
      <c r="AK31" s="394" t="str">
        <f>IF(AND(TRIM(AK29)="",TRIM(AK30)=""),"",AK29+AK30)</f>
        <v/>
      </c>
      <c r="AL31" s="379"/>
      <c r="AM31" s="380"/>
      <c r="AN31" s="381"/>
      <c r="AO31" s="437" t="str">
        <f>IF(TRIM(AN31)="", "", IF(VLOOKUP(AN31,'Footnotes list'!$D$9:$E$58,2,FALSE)=0,"",VLOOKUP(AN31,'Footnotes list'!$D$9:$E$58,2,FALSE) ) )</f>
        <v/>
      </c>
      <c r="AP31" s="394" t="str">
        <f>IF(AND(TRIM(AP29)="", TRIM(AP30)=""), "", SUM(AP29,AP30))</f>
        <v/>
      </c>
      <c r="AQ31" s="379"/>
      <c r="AR31" s="380"/>
      <c r="AS31" s="381"/>
      <c r="AT31" s="437" t="str">
        <f>IF(TRIM(AS31)="", "", IF(VLOOKUP(AS31,'Footnotes list'!$D$9:$E$58,2,FALSE)=0,"",VLOOKUP(AS31,'Footnotes list'!$D$9:$E$58,2,FALSE) ) )</f>
        <v/>
      </c>
      <c r="AU31" s="394" t="str">
        <f>IF(AND(TRIM(AU29)="", TRIM(AU30)=""), "", SUM(AU29,AU30) )</f>
        <v/>
      </c>
      <c r="AV31" s="379"/>
      <c r="AW31" s="380"/>
      <c r="AX31" s="381"/>
      <c r="AY31" s="437" t="str">
        <f>IF(TRIM(AX31)="", "", IF(VLOOKUP(AX31,'Footnotes list'!$D$9:$E$58,2,FALSE)=0,"",VLOOKUP(AX31,'Footnotes list'!$D$9:$E$58,2,FALSE) ) )</f>
        <v/>
      </c>
    </row>
    <row r="32" spans="2:51" ht="15" customHeight="1" thickBot="1" x14ac:dyDescent="0.4">
      <c r="B32" s="540" t="s">
        <v>118</v>
      </c>
      <c r="C32" s="429"/>
      <c r="D32" s="543" t="s">
        <v>85</v>
      </c>
      <c r="E32" s="429"/>
      <c r="F32" s="420" t="s">
        <v>233</v>
      </c>
      <c r="G32" s="439"/>
      <c r="H32" s="440"/>
      <c r="I32" s="440"/>
      <c r="J32" s="440"/>
      <c r="K32" s="441"/>
      <c r="L32" s="439"/>
      <c r="M32" s="440"/>
      <c r="N32" s="440"/>
      <c r="O32" s="440"/>
      <c r="P32" s="441"/>
      <c r="Q32" s="439"/>
      <c r="R32" s="440"/>
      <c r="S32" s="440"/>
      <c r="T32" s="440"/>
      <c r="U32" s="441"/>
      <c r="V32" s="439"/>
      <c r="W32" s="440"/>
      <c r="X32" s="440"/>
      <c r="Y32" s="440"/>
      <c r="Z32" s="441"/>
      <c r="AA32" s="439"/>
      <c r="AB32" s="440"/>
      <c r="AC32" s="440"/>
      <c r="AD32" s="440"/>
      <c r="AE32" s="441"/>
      <c r="AF32" s="439"/>
      <c r="AG32" s="440"/>
      <c r="AH32" s="440"/>
      <c r="AI32" s="440"/>
      <c r="AJ32" s="441"/>
      <c r="AK32" s="439"/>
      <c r="AL32" s="440"/>
      <c r="AM32" s="440"/>
      <c r="AN32" s="440"/>
      <c r="AO32" s="441"/>
      <c r="AP32" s="439"/>
      <c r="AQ32" s="440"/>
      <c r="AR32" s="440"/>
      <c r="AS32" s="440"/>
      <c r="AT32" s="441"/>
      <c r="AU32" s="439"/>
      <c r="AV32" s="440"/>
      <c r="AW32" s="440"/>
      <c r="AX32" s="440"/>
      <c r="AY32" s="441"/>
    </row>
    <row r="33" spans="2:51" ht="15" customHeight="1" x14ac:dyDescent="0.35">
      <c r="B33" s="541"/>
      <c r="C33" s="424" t="s">
        <v>118</v>
      </c>
      <c r="D33" s="544"/>
      <c r="E33" s="425" t="s">
        <v>145</v>
      </c>
      <c r="F33" s="426" t="s">
        <v>152</v>
      </c>
      <c r="G33" s="378"/>
      <c r="H33" s="379"/>
      <c r="I33" s="380"/>
      <c r="J33" s="381"/>
      <c r="K33" s="437" t="str">
        <f>IF(TRIM(J33)="", "", IF(VLOOKUP(J33,'Footnotes list'!$D$9:$E$58,2,FALSE)=0,"",VLOOKUP(J33,'Footnotes list'!$D$9:$E$58,2,FALSE) ) )</f>
        <v/>
      </c>
      <c r="L33" s="378"/>
      <c r="M33" s="379"/>
      <c r="N33" s="380"/>
      <c r="O33" s="381"/>
      <c r="P33" s="437" t="str">
        <f>IF(TRIM(O33)="", "", IF(VLOOKUP(O33,'Footnotes list'!$D$9:$E$58,2,FALSE)=0,"",VLOOKUP(O33,'Footnotes list'!$D$9:$E$58,2,FALSE) ) )</f>
        <v/>
      </c>
      <c r="Q33" s="378"/>
      <c r="R33" s="379"/>
      <c r="S33" s="380"/>
      <c r="T33" s="381"/>
      <c r="U33" s="437" t="str">
        <f>IF(TRIM(T33)="", "", IF(VLOOKUP(T33,'Footnotes list'!$D$9:$E$58,2,FALSE)=0,"",VLOOKUP(T33,'Footnotes list'!$D$9:$E$58,2,FALSE) ) )</f>
        <v/>
      </c>
      <c r="V33" s="378"/>
      <c r="W33" s="379"/>
      <c r="X33" s="380"/>
      <c r="Y33" s="381"/>
      <c r="Z33" s="437" t="str">
        <f>IF(TRIM(Y33)="", "", IF(VLOOKUP(Y33,'Footnotes list'!$D$9:$E$58,2,FALSE)=0,"",VLOOKUP(Y33,'Footnotes list'!$D$9:$E$58,2,FALSE) ) )</f>
        <v/>
      </c>
      <c r="AA33" s="399" t="str">
        <f>IF(AND(TRIM(Q33)="",TRIM(V33)=""),"",Q33+V33)</f>
        <v/>
      </c>
      <c r="AB33" s="379"/>
      <c r="AC33" s="380"/>
      <c r="AD33" s="381"/>
      <c r="AE33" s="437" t="str">
        <f>IF(TRIM(AD33)="", "", IF(VLOOKUP(AD33,'Footnotes list'!$D$9:$E$58,2,FALSE)=0,"",VLOOKUP(AD33,'Footnotes list'!$D$9:$E$58,2,FALSE) ) )</f>
        <v/>
      </c>
      <c r="AF33" s="378"/>
      <c r="AG33" s="379"/>
      <c r="AH33" s="380"/>
      <c r="AI33" s="381"/>
      <c r="AJ33" s="437" t="str">
        <f>IF(TRIM(AI33)="", "", IF(VLOOKUP(AI33,'Footnotes list'!$D$9:$E$58,2,FALSE)=0,"",VLOOKUP(AI33,'Footnotes list'!$D$9:$E$58,2,FALSE) ) )</f>
        <v/>
      </c>
      <c r="AK33" s="378"/>
      <c r="AL33" s="379"/>
      <c r="AM33" s="380"/>
      <c r="AN33" s="381"/>
      <c r="AO33" s="437" t="str">
        <f>IF(TRIM(AN33)="", "", IF(VLOOKUP(AN33,'Footnotes list'!$D$9:$E$58,2,FALSE)=0,"",VLOOKUP(AN33,'Footnotes list'!$D$9:$E$58,2,FALSE) ) )</f>
        <v/>
      </c>
      <c r="AP33" s="399" t="str">
        <f>IF(AND(TRIM(AF33)="",TRIM(AK33)=""),"",AF33+AK33)</f>
        <v/>
      </c>
      <c r="AQ33" s="379"/>
      <c r="AR33" s="380"/>
      <c r="AS33" s="381"/>
      <c r="AT33" s="437" t="str">
        <f>IF(TRIM(AS33)="", "", IF(VLOOKUP(AS33,'Footnotes list'!$D$9:$E$58,2,FALSE)=0,"",VLOOKUP(AS33,'Footnotes list'!$D$9:$E$58,2,FALSE) ) )</f>
        <v/>
      </c>
      <c r="AU33" s="438" t="str">
        <f>IF(AND(TRIM(G33)="",TRIM(L33)="",TRIM(AA33)="",TRIM(AP33)=""),"",SUM(G33,L33,AA33,AP33))</f>
        <v/>
      </c>
      <c r="AV33" s="379"/>
      <c r="AW33" s="380"/>
      <c r="AX33" s="381"/>
      <c r="AY33" s="437" t="str">
        <f>IF(TRIM(AX33)="", "", IF(VLOOKUP(AX33,'Footnotes list'!$D$9:$E$58,2,FALSE)=0,"",VLOOKUP(AX33,'Footnotes list'!$D$9:$E$58,2,FALSE) ) )</f>
        <v/>
      </c>
    </row>
    <row r="34" spans="2:51" ht="15" customHeight="1" thickBot="1" x14ac:dyDescent="0.4">
      <c r="B34" s="542"/>
      <c r="C34" s="427" t="s">
        <v>118</v>
      </c>
      <c r="D34" s="545"/>
      <c r="E34" s="422" t="s">
        <v>146</v>
      </c>
      <c r="F34" s="428" t="s">
        <v>234</v>
      </c>
      <c r="G34" s="394" t="str">
        <f>IF(AND(TRIM(G32)="",TRIM(G33)=""),"",G32+G33)</f>
        <v/>
      </c>
      <c r="H34" s="379"/>
      <c r="I34" s="380"/>
      <c r="J34" s="381"/>
      <c r="K34" s="437" t="str">
        <f>IF(TRIM(J34)="", "", IF(VLOOKUP(J34,'Footnotes list'!$D$9:$E$58,2,FALSE)=0,"",VLOOKUP(J34,'Footnotes list'!$D$9:$E$58,2,FALSE) ) )</f>
        <v/>
      </c>
      <c r="L34" s="394" t="str">
        <f>IF(AND(TRIM(L32)="",TRIM(L33)=""),"",L32+L33)</f>
        <v/>
      </c>
      <c r="M34" s="379"/>
      <c r="N34" s="380"/>
      <c r="O34" s="381"/>
      <c r="P34" s="437" t="str">
        <f>IF(TRIM(O34)="", "", IF(VLOOKUP(O34,'Footnotes list'!$D$9:$E$58,2,FALSE)=0,"",VLOOKUP(O34,'Footnotes list'!$D$9:$E$58,2,FALSE) ) )</f>
        <v/>
      </c>
      <c r="Q34" s="394" t="str">
        <f>IF(AND(TRIM(Q32)="",TRIM(Q33)=""),"",Q32+Q33)</f>
        <v/>
      </c>
      <c r="R34" s="379"/>
      <c r="S34" s="380"/>
      <c r="T34" s="381"/>
      <c r="U34" s="437" t="str">
        <f>IF(TRIM(T34)="", "", IF(VLOOKUP(T34,'Footnotes list'!$D$9:$E$58,2,FALSE)=0,"",VLOOKUP(T34,'Footnotes list'!$D$9:$E$58,2,FALSE) ) )</f>
        <v/>
      </c>
      <c r="V34" s="394" t="str">
        <f>IF(AND(TRIM(V32)="",TRIM(V33)=""),"",V32+V33)</f>
        <v/>
      </c>
      <c r="W34" s="379"/>
      <c r="X34" s="380"/>
      <c r="Y34" s="381"/>
      <c r="Z34" s="437" t="str">
        <f>IF(TRIM(Y34)="", "", IF(VLOOKUP(Y34,'Footnotes list'!$D$9:$E$58,2,FALSE)=0,"",VLOOKUP(Y34,'Footnotes list'!$D$9:$E$58,2,FALSE) ) )</f>
        <v/>
      </c>
      <c r="AA34" s="394" t="str">
        <f>IF(AND(TRIM(AA32)="", TRIM(AA33)=""), "", SUM(AA32,AA33))</f>
        <v/>
      </c>
      <c r="AB34" s="379"/>
      <c r="AC34" s="380"/>
      <c r="AD34" s="381"/>
      <c r="AE34" s="437" t="str">
        <f>IF(TRIM(AD34)="", "", IF(VLOOKUP(AD34,'Footnotes list'!$D$9:$E$58,2,FALSE)=0,"",VLOOKUP(AD34,'Footnotes list'!$D$9:$E$58,2,FALSE) ) )</f>
        <v/>
      </c>
      <c r="AF34" s="394" t="str">
        <f>IF(AND(TRIM(AF32)="",TRIM(AF33)=""),"",AF32+AF33)</f>
        <v/>
      </c>
      <c r="AG34" s="379"/>
      <c r="AH34" s="380"/>
      <c r="AI34" s="381"/>
      <c r="AJ34" s="437" t="str">
        <f>IF(TRIM(AI34)="", "", IF(VLOOKUP(AI34,'Footnotes list'!$D$9:$E$58,2,FALSE)=0,"",VLOOKUP(AI34,'Footnotes list'!$D$9:$E$58,2,FALSE) ) )</f>
        <v/>
      </c>
      <c r="AK34" s="394" t="str">
        <f>IF(AND(TRIM(AK32)="",TRIM(AK33)=""),"",AK32+AK33)</f>
        <v/>
      </c>
      <c r="AL34" s="379"/>
      <c r="AM34" s="380"/>
      <c r="AN34" s="381"/>
      <c r="AO34" s="437" t="str">
        <f>IF(TRIM(AN34)="", "", IF(VLOOKUP(AN34,'Footnotes list'!$D$9:$E$58,2,FALSE)=0,"",VLOOKUP(AN34,'Footnotes list'!$D$9:$E$58,2,FALSE) ) )</f>
        <v/>
      </c>
      <c r="AP34" s="394" t="str">
        <f>IF(AND(TRIM(AP32)="", TRIM(AP33)=""), "", SUM(AP32,AP33))</f>
        <v/>
      </c>
      <c r="AQ34" s="379"/>
      <c r="AR34" s="380"/>
      <c r="AS34" s="381"/>
      <c r="AT34" s="437" t="str">
        <f>IF(TRIM(AS34)="", "", IF(VLOOKUP(AS34,'Footnotes list'!$D$9:$E$58,2,FALSE)=0,"",VLOOKUP(AS34,'Footnotes list'!$D$9:$E$58,2,FALSE) ) )</f>
        <v/>
      </c>
      <c r="AU34" s="394" t="str">
        <f>IF(AND(TRIM(AU32)="", TRIM(AU33)=""), "", SUM(AU32,AU33) )</f>
        <v/>
      </c>
      <c r="AV34" s="379"/>
      <c r="AW34" s="380"/>
      <c r="AX34" s="381"/>
      <c r="AY34" s="437" t="str">
        <f>IF(TRIM(AX34)="", "", IF(VLOOKUP(AX34,'Footnotes list'!$D$9:$E$58,2,FALSE)=0,"",VLOOKUP(AX34,'Footnotes list'!$D$9:$E$58,2,FALSE) ) )</f>
        <v/>
      </c>
    </row>
    <row r="35" spans="2:51" ht="15" customHeight="1" thickBot="1" x14ac:dyDescent="0.4">
      <c r="B35" s="540" t="s">
        <v>119</v>
      </c>
      <c r="C35" s="429"/>
      <c r="D35" s="543" t="s">
        <v>158</v>
      </c>
      <c r="E35" s="429"/>
      <c r="F35" s="420" t="s">
        <v>233</v>
      </c>
      <c r="G35" s="439"/>
      <c r="H35" s="442"/>
      <c r="I35" s="443"/>
      <c r="J35" s="444"/>
      <c r="K35" s="445"/>
      <c r="L35" s="439"/>
      <c r="M35" s="442"/>
      <c r="N35" s="443"/>
      <c r="O35" s="444"/>
      <c r="P35" s="445"/>
      <c r="Q35" s="439"/>
      <c r="R35" s="442"/>
      <c r="S35" s="443"/>
      <c r="T35" s="444"/>
      <c r="U35" s="445"/>
      <c r="V35" s="439"/>
      <c r="W35" s="442"/>
      <c r="X35" s="443"/>
      <c r="Y35" s="444"/>
      <c r="Z35" s="445"/>
      <c r="AA35" s="439"/>
      <c r="AB35" s="442"/>
      <c r="AC35" s="443"/>
      <c r="AD35" s="444"/>
      <c r="AE35" s="445"/>
      <c r="AF35" s="439"/>
      <c r="AG35" s="442"/>
      <c r="AH35" s="443"/>
      <c r="AI35" s="444"/>
      <c r="AJ35" s="445"/>
      <c r="AK35" s="439"/>
      <c r="AL35" s="442"/>
      <c r="AM35" s="443"/>
      <c r="AN35" s="444"/>
      <c r="AO35" s="445"/>
      <c r="AP35" s="439"/>
      <c r="AQ35" s="442"/>
      <c r="AR35" s="443"/>
      <c r="AS35" s="444"/>
      <c r="AT35" s="445"/>
      <c r="AU35" s="439"/>
      <c r="AV35" s="442"/>
      <c r="AW35" s="443"/>
      <c r="AX35" s="444"/>
      <c r="AY35" s="445"/>
    </row>
    <row r="36" spans="2:51" ht="15" customHeight="1" x14ac:dyDescent="0.35">
      <c r="B36" s="541"/>
      <c r="C36" s="424" t="s">
        <v>119</v>
      </c>
      <c r="D36" s="544"/>
      <c r="E36" s="425" t="s">
        <v>145</v>
      </c>
      <c r="F36" s="426" t="s">
        <v>152</v>
      </c>
      <c r="G36" s="378"/>
      <c r="H36" s="379"/>
      <c r="I36" s="380"/>
      <c r="J36" s="381"/>
      <c r="K36" s="437" t="str">
        <f>IF(TRIM(J36)="", "", IF(VLOOKUP(J36,'Footnotes list'!$D$9:$E$58,2,FALSE)=0,"",VLOOKUP(J36,'Footnotes list'!$D$9:$E$58,2,FALSE) ) )</f>
        <v/>
      </c>
      <c r="L36" s="378"/>
      <c r="M36" s="379"/>
      <c r="N36" s="380"/>
      <c r="O36" s="381"/>
      <c r="P36" s="437" t="str">
        <f>IF(TRIM(O36)="", "", IF(VLOOKUP(O36,'Footnotes list'!$D$9:$E$58,2,FALSE)=0,"",VLOOKUP(O36,'Footnotes list'!$D$9:$E$58,2,FALSE) ) )</f>
        <v/>
      </c>
      <c r="Q36" s="378"/>
      <c r="R36" s="379"/>
      <c r="S36" s="380"/>
      <c r="T36" s="381"/>
      <c r="U36" s="437" t="str">
        <f>IF(TRIM(T36)="", "", IF(VLOOKUP(T36,'Footnotes list'!$D$9:$E$58,2,FALSE)=0,"",VLOOKUP(T36,'Footnotes list'!$D$9:$E$58,2,FALSE) ) )</f>
        <v/>
      </c>
      <c r="V36" s="378"/>
      <c r="W36" s="379"/>
      <c r="X36" s="380"/>
      <c r="Y36" s="381"/>
      <c r="Z36" s="437" t="str">
        <f>IF(TRIM(Y36)="", "", IF(VLOOKUP(Y36,'Footnotes list'!$D$9:$E$58,2,FALSE)=0,"",VLOOKUP(Y36,'Footnotes list'!$D$9:$E$58,2,FALSE) ) )</f>
        <v/>
      </c>
      <c r="AA36" s="399" t="str">
        <f>IF(AND(TRIM(Q36)="",TRIM(V36)=""),"",Q36+V36)</f>
        <v/>
      </c>
      <c r="AB36" s="379"/>
      <c r="AC36" s="380"/>
      <c r="AD36" s="381"/>
      <c r="AE36" s="437" t="str">
        <f>IF(TRIM(AD36)="", "", IF(VLOOKUP(AD36,'Footnotes list'!$D$9:$E$58,2,FALSE)=0,"",VLOOKUP(AD36,'Footnotes list'!$D$9:$E$58,2,FALSE) ) )</f>
        <v/>
      </c>
      <c r="AF36" s="378"/>
      <c r="AG36" s="379"/>
      <c r="AH36" s="380"/>
      <c r="AI36" s="381"/>
      <c r="AJ36" s="437" t="str">
        <f>IF(TRIM(AI36)="", "", IF(VLOOKUP(AI36,'Footnotes list'!$D$9:$E$58,2,FALSE)=0,"",VLOOKUP(AI36,'Footnotes list'!$D$9:$E$58,2,FALSE) ) )</f>
        <v/>
      </c>
      <c r="AK36" s="378"/>
      <c r="AL36" s="379"/>
      <c r="AM36" s="380"/>
      <c r="AN36" s="381"/>
      <c r="AO36" s="437" t="str">
        <f>IF(TRIM(AN36)="", "", IF(VLOOKUP(AN36,'Footnotes list'!$D$9:$E$58,2,FALSE)=0,"",VLOOKUP(AN36,'Footnotes list'!$D$9:$E$58,2,FALSE) ) )</f>
        <v/>
      </c>
      <c r="AP36" s="399" t="str">
        <f>IF(AND(TRIM(AF36)="",TRIM(AK36)=""),"",AF36+AK36)</f>
        <v/>
      </c>
      <c r="AQ36" s="379"/>
      <c r="AR36" s="380"/>
      <c r="AS36" s="381"/>
      <c r="AT36" s="437" t="str">
        <f>IF(TRIM(AS36)="", "", IF(VLOOKUP(AS36,'Footnotes list'!$D$9:$E$58,2,FALSE)=0,"",VLOOKUP(AS36,'Footnotes list'!$D$9:$E$58,2,FALSE) ) )</f>
        <v/>
      </c>
      <c r="AU36" s="438" t="str">
        <f>IF(AND(TRIM(G36)="",TRIM(L36)="",TRIM(AA36)="",TRIM(AP36)=""),"",SUM(G36,L36,AA36,AP36))</f>
        <v/>
      </c>
      <c r="AV36" s="379"/>
      <c r="AW36" s="380"/>
      <c r="AX36" s="381"/>
      <c r="AY36" s="437" t="str">
        <f>IF(TRIM(AX36)="", "", IF(VLOOKUP(AX36,'Footnotes list'!$D$9:$E$58,2,FALSE)=0,"",VLOOKUP(AX36,'Footnotes list'!$D$9:$E$58,2,FALSE) ) )</f>
        <v/>
      </c>
    </row>
    <row r="37" spans="2:51" ht="15" customHeight="1" thickBot="1" x14ac:dyDescent="0.4">
      <c r="B37" s="542"/>
      <c r="C37" s="427" t="s">
        <v>119</v>
      </c>
      <c r="D37" s="545"/>
      <c r="E37" s="422" t="s">
        <v>146</v>
      </c>
      <c r="F37" s="428" t="s">
        <v>234</v>
      </c>
      <c r="G37" s="394" t="str">
        <f>IF(AND(TRIM(G35)="",TRIM(G36)=""),"",G35+G36)</f>
        <v/>
      </c>
      <c r="H37" s="379"/>
      <c r="I37" s="380"/>
      <c r="J37" s="381"/>
      <c r="K37" s="437" t="str">
        <f>IF(TRIM(J37)="", "", IF(VLOOKUP(J37,'Footnotes list'!$D$9:$E$58,2,FALSE)=0,"",VLOOKUP(J37,'Footnotes list'!$D$9:$E$58,2,FALSE) ) )</f>
        <v/>
      </c>
      <c r="L37" s="394" t="str">
        <f>IF(AND(TRIM(L35)="",TRIM(L36)=""),"",L35+L36)</f>
        <v/>
      </c>
      <c r="M37" s="379"/>
      <c r="N37" s="380"/>
      <c r="O37" s="381"/>
      <c r="P37" s="437" t="str">
        <f>IF(TRIM(O37)="", "", IF(VLOOKUP(O37,'Footnotes list'!$D$9:$E$58,2,FALSE)=0,"",VLOOKUP(O37,'Footnotes list'!$D$9:$E$58,2,FALSE) ) )</f>
        <v/>
      </c>
      <c r="Q37" s="394" t="str">
        <f>IF(AND(TRIM(Q35)="",TRIM(Q36)=""),"",Q35+Q36)</f>
        <v/>
      </c>
      <c r="R37" s="379"/>
      <c r="S37" s="380"/>
      <c r="T37" s="381"/>
      <c r="U37" s="437" t="str">
        <f>IF(TRIM(T37)="", "", IF(VLOOKUP(T37,'Footnotes list'!$D$9:$E$58,2,FALSE)=0,"",VLOOKUP(T37,'Footnotes list'!$D$9:$E$58,2,FALSE) ) )</f>
        <v/>
      </c>
      <c r="V37" s="394" t="str">
        <f>IF(AND(TRIM(V35)="",TRIM(V36)=""),"",V35+V36)</f>
        <v/>
      </c>
      <c r="W37" s="379"/>
      <c r="X37" s="380"/>
      <c r="Y37" s="381"/>
      <c r="Z37" s="437" t="str">
        <f>IF(TRIM(Y37)="", "", IF(VLOOKUP(Y37,'Footnotes list'!$D$9:$E$58,2,FALSE)=0,"",VLOOKUP(Y37,'Footnotes list'!$D$9:$E$58,2,FALSE) ) )</f>
        <v/>
      </c>
      <c r="AA37" s="394" t="str">
        <f>IF(AND(TRIM(AA35)="", TRIM(AA36)=""), "", SUM(AA35,AA36))</f>
        <v/>
      </c>
      <c r="AB37" s="379"/>
      <c r="AC37" s="380"/>
      <c r="AD37" s="381"/>
      <c r="AE37" s="437" t="str">
        <f>IF(TRIM(AD37)="", "", IF(VLOOKUP(AD37,'Footnotes list'!$D$9:$E$58,2,FALSE)=0,"",VLOOKUP(AD37,'Footnotes list'!$D$9:$E$58,2,FALSE) ) )</f>
        <v/>
      </c>
      <c r="AF37" s="394" t="str">
        <f>IF(AND(TRIM(AF35)="",TRIM(AF36)=""),"",AF35+AF36)</f>
        <v/>
      </c>
      <c r="AG37" s="379"/>
      <c r="AH37" s="380"/>
      <c r="AI37" s="381"/>
      <c r="AJ37" s="437" t="str">
        <f>IF(TRIM(AI37)="", "", IF(VLOOKUP(AI37,'Footnotes list'!$D$9:$E$58,2,FALSE)=0,"",VLOOKUP(AI37,'Footnotes list'!$D$9:$E$58,2,FALSE) ) )</f>
        <v/>
      </c>
      <c r="AK37" s="394" t="str">
        <f>IF(AND(TRIM(AK35)="",TRIM(AK36)=""),"",AK35+AK36)</f>
        <v/>
      </c>
      <c r="AL37" s="379"/>
      <c r="AM37" s="380"/>
      <c r="AN37" s="381"/>
      <c r="AO37" s="437" t="str">
        <f>IF(TRIM(AN37)="", "", IF(VLOOKUP(AN37,'Footnotes list'!$D$9:$E$58,2,FALSE)=0,"",VLOOKUP(AN37,'Footnotes list'!$D$9:$E$58,2,FALSE) ) )</f>
        <v/>
      </c>
      <c r="AP37" s="394" t="str">
        <f>IF(AND(TRIM(AP35)="", TRIM(AP36)=""), "", SUM(AP35,AP36))</f>
        <v/>
      </c>
      <c r="AQ37" s="379"/>
      <c r="AR37" s="380"/>
      <c r="AS37" s="381"/>
      <c r="AT37" s="437" t="str">
        <f>IF(TRIM(AS37)="", "", IF(VLOOKUP(AS37,'Footnotes list'!$D$9:$E$58,2,FALSE)=0,"",VLOOKUP(AS37,'Footnotes list'!$D$9:$E$58,2,FALSE) ) )</f>
        <v/>
      </c>
      <c r="AU37" s="394" t="str">
        <f>IF(AND(TRIM(AU35)="", TRIM(AU36)=""), "", SUM(AU35,AU36) )</f>
        <v/>
      </c>
      <c r="AV37" s="379"/>
      <c r="AW37" s="380"/>
      <c r="AX37" s="381"/>
      <c r="AY37" s="437" t="str">
        <f>IF(TRIM(AX37)="", "", IF(VLOOKUP(AX37,'Footnotes list'!$D$9:$E$58,2,FALSE)=0,"",VLOOKUP(AX37,'Footnotes list'!$D$9:$E$58,2,FALSE) ) )</f>
        <v/>
      </c>
    </row>
    <row r="38" spans="2:51" ht="15" customHeight="1" x14ac:dyDescent="0.35">
      <c r="B38" s="540" t="s">
        <v>120</v>
      </c>
      <c r="C38" s="416" t="s">
        <v>120</v>
      </c>
      <c r="D38" s="543" t="s">
        <v>86</v>
      </c>
      <c r="E38" s="417" t="s">
        <v>144</v>
      </c>
      <c r="F38" s="418" t="s">
        <v>151</v>
      </c>
      <c r="G38" s="372"/>
      <c r="H38" s="373"/>
      <c r="I38" s="374"/>
      <c r="J38" s="375"/>
      <c r="K38" s="433" t="str">
        <f>IF(TRIM(J38)="", "", IF(VLOOKUP(J38,'Footnotes list'!$D$9:$E$58,2,FALSE)=0,"",VLOOKUP(J38,'Footnotes list'!$D$9:$E$58,2,FALSE) ) )</f>
        <v/>
      </c>
      <c r="L38" s="372"/>
      <c r="M38" s="373"/>
      <c r="N38" s="374"/>
      <c r="O38" s="375"/>
      <c r="P38" s="433" t="str">
        <f>IF(TRIM(O38)="", "", IF(VLOOKUP(O38,'Footnotes list'!$D$9:$E$58,2,FALSE)=0,"",VLOOKUP(O38,'Footnotes list'!$D$9:$E$58,2,FALSE) ) )</f>
        <v/>
      </c>
      <c r="Q38" s="372"/>
      <c r="R38" s="373"/>
      <c r="S38" s="374"/>
      <c r="T38" s="375"/>
      <c r="U38" s="433" t="str">
        <f>IF(TRIM(T38)="", "", IF(VLOOKUP(T38,'Footnotes list'!$D$9:$E$58,2,FALSE)=0,"",VLOOKUP(T38,'Footnotes list'!$D$9:$E$58,2,FALSE) ) )</f>
        <v/>
      </c>
      <c r="V38" s="372"/>
      <c r="W38" s="373"/>
      <c r="X38" s="374"/>
      <c r="Y38" s="375"/>
      <c r="Z38" s="433" t="str">
        <f>IF(TRIM(Y38)="", "", IF(VLOOKUP(Y38,'Footnotes list'!$D$9:$E$58,2,FALSE)=0,"",VLOOKUP(Y38,'Footnotes list'!$D$9:$E$58,2,FALSE) ) )</f>
        <v/>
      </c>
      <c r="AA38" s="400" t="str">
        <f>IF(AND(TRIM(Q38)="",TRIM(V38)=""),"",Q38+V38)</f>
        <v/>
      </c>
      <c r="AB38" s="373"/>
      <c r="AC38" s="374"/>
      <c r="AD38" s="375"/>
      <c r="AE38" s="433" t="str">
        <f>IF(TRIM(AD38)="", "", IF(VLOOKUP(AD38,'Footnotes list'!$D$9:$E$58,2,FALSE)=0,"",VLOOKUP(AD38,'Footnotes list'!$D$9:$E$58,2,FALSE) ) )</f>
        <v/>
      </c>
      <c r="AF38" s="372"/>
      <c r="AG38" s="373"/>
      <c r="AH38" s="374"/>
      <c r="AI38" s="375"/>
      <c r="AJ38" s="433" t="str">
        <f>IF(TRIM(AI38)="", "", IF(VLOOKUP(AI38,'Footnotes list'!$D$9:$E$58,2,FALSE)=0,"",VLOOKUP(AI38,'Footnotes list'!$D$9:$E$58,2,FALSE) ) )</f>
        <v/>
      </c>
      <c r="AK38" s="372"/>
      <c r="AL38" s="373"/>
      <c r="AM38" s="374"/>
      <c r="AN38" s="375"/>
      <c r="AO38" s="433" t="str">
        <f>IF(TRIM(AN38)="", "", IF(VLOOKUP(AN38,'Footnotes list'!$D$9:$E$58,2,FALSE)=0,"",VLOOKUP(AN38,'Footnotes list'!$D$9:$E$58,2,FALSE) ) )</f>
        <v/>
      </c>
      <c r="AP38" s="400" t="str">
        <f>IF(AND(TRIM(AF38)="",TRIM(AK38)=""),"",AF38+AK38)</f>
        <v/>
      </c>
      <c r="AQ38" s="373"/>
      <c r="AR38" s="374"/>
      <c r="AS38" s="375"/>
      <c r="AT38" s="433" t="str">
        <f>IF(TRIM(AS38)="", "", IF(VLOOKUP(AS38,'Footnotes list'!$D$9:$E$58,2,FALSE)=0,"",VLOOKUP(AS38,'Footnotes list'!$D$9:$E$58,2,FALSE) ) )</f>
        <v/>
      </c>
      <c r="AU38" s="400" t="str">
        <f>IF(AND(TRIM(G38)="",TRIM(L38)="",TRIM(AA38)="",TRIM(AP38)=""),"",SUM(G38,L38,AA38,AP38))</f>
        <v/>
      </c>
      <c r="AV38" s="373"/>
      <c r="AW38" s="374"/>
      <c r="AX38" s="375"/>
      <c r="AY38" s="433" t="str">
        <f>IF(TRIM(AX38)="", "", IF(VLOOKUP(AX38,'Footnotes list'!$D$9:$E$58,2,FALSE)=0,"",VLOOKUP(AX38,'Footnotes list'!$D$9:$E$58,2,FALSE) ) )</f>
        <v/>
      </c>
    </row>
    <row r="39" spans="2:51" ht="15" customHeight="1" x14ac:dyDescent="0.35">
      <c r="B39" s="541"/>
      <c r="C39" s="424" t="s">
        <v>120</v>
      </c>
      <c r="D39" s="544"/>
      <c r="E39" s="425" t="s">
        <v>145</v>
      </c>
      <c r="F39" s="426" t="s">
        <v>152</v>
      </c>
      <c r="G39" s="378"/>
      <c r="H39" s="379"/>
      <c r="I39" s="380"/>
      <c r="J39" s="381"/>
      <c r="K39" s="437" t="str">
        <f>IF(TRIM(J39)="", "", IF(VLOOKUP(J39,'Footnotes list'!$D$9:$E$58,2,FALSE)=0,"",VLOOKUP(J39,'Footnotes list'!$D$9:$E$58,2,FALSE) ) )</f>
        <v/>
      </c>
      <c r="L39" s="378"/>
      <c r="M39" s="379"/>
      <c r="N39" s="380"/>
      <c r="O39" s="381"/>
      <c r="P39" s="437" t="str">
        <f>IF(TRIM(O39)="", "", IF(VLOOKUP(O39,'Footnotes list'!$D$9:$E$58,2,FALSE)=0,"",VLOOKUP(O39,'Footnotes list'!$D$9:$E$58,2,FALSE) ) )</f>
        <v/>
      </c>
      <c r="Q39" s="378"/>
      <c r="R39" s="379"/>
      <c r="S39" s="380"/>
      <c r="T39" s="381"/>
      <c r="U39" s="437" t="str">
        <f>IF(TRIM(T39)="", "", IF(VLOOKUP(T39,'Footnotes list'!$D$9:$E$58,2,FALSE)=0,"",VLOOKUP(T39,'Footnotes list'!$D$9:$E$58,2,FALSE) ) )</f>
        <v/>
      </c>
      <c r="V39" s="378"/>
      <c r="W39" s="379"/>
      <c r="X39" s="380"/>
      <c r="Y39" s="381"/>
      <c r="Z39" s="437" t="str">
        <f>IF(TRIM(Y39)="", "", IF(VLOOKUP(Y39,'Footnotes list'!$D$9:$E$58,2,FALSE)=0,"",VLOOKUP(Y39,'Footnotes list'!$D$9:$E$58,2,FALSE) ) )</f>
        <v/>
      </c>
      <c r="AA39" s="399" t="str">
        <f>IF(AND(TRIM(Q39)="",TRIM(V39)=""),"",Q39+V39)</f>
        <v/>
      </c>
      <c r="AB39" s="379"/>
      <c r="AC39" s="380"/>
      <c r="AD39" s="381"/>
      <c r="AE39" s="437" t="str">
        <f>IF(TRIM(AD39)="", "", IF(VLOOKUP(AD39,'Footnotes list'!$D$9:$E$58,2,FALSE)=0,"",VLOOKUP(AD39,'Footnotes list'!$D$9:$E$58,2,FALSE) ) )</f>
        <v/>
      </c>
      <c r="AF39" s="378"/>
      <c r="AG39" s="379"/>
      <c r="AH39" s="380"/>
      <c r="AI39" s="381"/>
      <c r="AJ39" s="437" t="str">
        <f>IF(TRIM(AI39)="", "", IF(VLOOKUP(AI39,'Footnotes list'!$D$9:$E$58,2,FALSE)=0,"",VLOOKUP(AI39,'Footnotes list'!$D$9:$E$58,2,FALSE) ) )</f>
        <v/>
      </c>
      <c r="AK39" s="378"/>
      <c r="AL39" s="379"/>
      <c r="AM39" s="380"/>
      <c r="AN39" s="381"/>
      <c r="AO39" s="437" t="str">
        <f>IF(TRIM(AN39)="", "", IF(VLOOKUP(AN39,'Footnotes list'!$D$9:$E$58,2,FALSE)=0,"",VLOOKUP(AN39,'Footnotes list'!$D$9:$E$58,2,FALSE) ) )</f>
        <v/>
      </c>
      <c r="AP39" s="399" t="str">
        <f>IF(AND(TRIM(AF39)="",TRIM(AK39)=""),"",AF39+AK39)</f>
        <v/>
      </c>
      <c r="AQ39" s="379"/>
      <c r="AR39" s="380"/>
      <c r="AS39" s="381"/>
      <c r="AT39" s="437" t="str">
        <f>IF(TRIM(AS39)="", "", IF(VLOOKUP(AS39,'Footnotes list'!$D$9:$E$58,2,FALSE)=0,"",VLOOKUP(AS39,'Footnotes list'!$D$9:$E$58,2,FALSE) ) )</f>
        <v/>
      </c>
      <c r="AU39" s="438" t="str">
        <f>IF(AND(TRIM(G39)="",TRIM(L39)="",TRIM(AA39)="",TRIM(AP39)=""),"",SUM(G39,L39,AA39,AP39))</f>
        <v/>
      </c>
      <c r="AV39" s="379"/>
      <c r="AW39" s="380"/>
      <c r="AX39" s="381"/>
      <c r="AY39" s="437" t="str">
        <f>IF(TRIM(AX39)="", "", IF(VLOOKUP(AX39,'Footnotes list'!$D$9:$E$58,2,FALSE)=0,"",VLOOKUP(AX39,'Footnotes list'!$D$9:$E$58,2,FALSE) ) )</f>
        <v/>
      </c>
    </row>
    <row r="40" spans="2:51" ht="15" customHeight="1" thickBot="1" x14ac:dyDescent="0.4">
      <c r="B40" s="542"/>
      <c r="C40" s="427" t="s">
        <v>120</v>
      </c>
      <c r="D40" s="545"/>
      <c r="E40" s="422" t="s">
        <v>146</v>
      </c>
      <c r="F40" s="428" t="s">
        <v>234</v>
      </c>
      <c r="G40" s="394" t="str">
        <f>IF(AND(TRIM(G38)="",TRIM(G39)=""),"",G38+G39)</f>
        <v/>
      </c>
      <c r="H40" s="379"/>
      <c r="I40" s="380"/>
      <c r="J40" s="381"/>
      <c r="K40" s="437" t="str">
        <f>IF(TRIM(J40)="", "", IF(VLOOKUP(J40,'Footnotes list'!$D$9:$E$58,2,FALSE)=0,"",VLOOKUP(J40,'Footnotes list'!$D$9:$E$58,2,FALSE) ) )</f>
        <v/>
      </c>
      <c r="L40" s="394" t="str">
        <f>IF(AND(TRIM(L38)="",TRIM(L39)=""),"",L38+L39)</f>
        <v/>
      </c>
      <c r="M40" s="379"/>
      <c r="N40" s="380"/>
      <c r="O40" s="381"/>
      <c r="P40" s="437" t="str">
        <f>IF(TRIM(O40)="", "", IF(VLOOKUP(O40,'Footnotes list'!$D$9:$E$58,2,FALSE)=0,"",VLOOKUP(O40,'Footnotes list'!$D$9:$E$58,2,FALSE) ) )</f>
        <v/>
      </c>
      <c r="Q40" s="394" t="str">
        <f>IF(AND(TRIM(Q38)="",TRIM(Q39)=""),"",Q38+Q39)</f>
        <v/>
      </c>
      <c r="R40" s="379"/>
      <c r="S40" s="380"/>
      <c r="T40" s="381"/>
      <c r="U40" s="437" t="str">
        <f>IF(TRIM(T40)="", "", IF(VLOOKUP(T40,'Footnotes list'!$D$9:$E$58,2,FALSE)=0,"",VLOOKUP(T40,'Footnotes list'!$D$9:$E$58,2,FALSE) ) )</f>
        <v/>
      </c>
      <c r="V40" s="394" t="str">
        <f>IF(AND(TRIM(V38)="",TRIM(V39)=""),"",V38+V39)</f>
        <v/>
      </c>
      <c r="W40" s="379"/>
      <c r="X40" s="380"/>
      <c r="Y40" s="381"/>
      <c r="Z40" s="437" t="str">
        <f>IF(TRIM(Y40)="", "", IF(VLOOKUP(Y40,'Footnotes list'!$D$9:$E$58,2,FALSE)=0,"",VLOOKUP(Y40,'Footnotes list'!$D$9:$E$58,2,FALSE) ) )</f>
        <v/>
      </c>
      <c r="AA40" s="394" t="str">
        <f>IF(AND(TRIM(AA38)="", TRIM(AA39)=""), "", SUM(AA38,AA39))</f>
        <v/>
      </c>
      <c r="AB40" s="379"/>
      <c r="AC40" s="380"/>
      <c r="AD40" s="381"/>
      <c r="AE40" s="437" t="str">
        <f>IF(TRIM(AD40)="", "", IF(VLOOKUP(AD40,'Footnotes list'!$D$9:$E$58,2,FALSE)=0,"",VLOOKUP(AD40,'Footnotes list'!$D$9:$E$58,2,FALSE) ) )</f>
        <v/>
      </c>
      <c r="AF40" s="394" t="str">
        <f>IF(AND(TRIM(AF38)="",TRIM(AF39)=""),"",AF38+AF39)</f>
        <v/>
      </c>
      <c r="AG40" s="379"/>
      <c r="AH40" s="380"/>
      <c r="AI40" s="381"/>
      <c r="AJ40" s="437" t="str">
        <f>IF(TRIM(AI40)="", "", IF(VLOOKUP(AI40,'Footnotes list'!$D$9:$E$58,2,FALSE)=0,"",VLOOKUP(AI40,'Footnotes list'!$D$9:$E$58,2,FALSE) ) )</f>
        <v/>
      </c>
      <c r="AK40" s="394" t="str">
        <f>IF(AND(TRIM(AK38)="",TRIM(AK39)=""),"",AK38+AK39)</f>
        <v/>
      </c>
      <c r="AL40" s="379"/>
      <c r="AM40" s="380"/>
      <c r="AN40" s="381"/>
      <c r="AO40" s="437" t="str">
        <f>IF(TRIM(AN40)="", "", IF(VLOOKUP(AN40,'Footnotes list'!$D$9:$E$58,2,FALSE)=0,"",VLOOKUP(AN40,'Footnotes list'!$D$9:$E$58,2,FALSE) ) )</f>
        <v/>
      </c>
      <c r="AP40" s="394" t="str">
        <f>IF(AND(TRIM(AP38)="", TRIM(AP39)=""), "", SUM(AP38,AP39))</f>
        <v/>
      </c>
      <c r="AQ40" s="379"/>
      <c r="AR40" s="380"/>
      <c r="AS40" s="381"/>
      <c r="AT40" s="437" t="str">
        <f>IF(TRIM(AS40)="", "", IF(VLOOKUP(AS40,'Footnotes list'!$D$9:$E$58,2,FALSE)=0,"",VLOOKUP(AS40,'Footnotes list'!$D$9:$E$58,2,FALSE) ) )</f>
        <v/>
      </c>
      <c r="AU40" s="394" t="str">
        <f>IF(AND(TRIM(AU38)="", TRIM(AU39)=""), "", SUM(AU38,AU39) )</f>
        <v/>
      </c>
      <c r="AV40" s="379"/>
      <c r="AW40" s="380"/>
      <c r="AX40" s="381"/>
      <c r="AY40" s="437" t="str">
        <f>IF(TRIM(AX40)="", "", IF(VLOOKUP(AX40,'Footnotes list'!$D$9:$E$58,2,FALSE)=0,"",VLOOKUP(AX40,'Footnotes list'!$D$9:$E$58,2,FALSE) ) )</f>
        <v/>
      </c>
    </row>
    <row r="41" spans="2:51" ht="15" customHeight="1" thickBot="1" x14ac:dyDescent="0.4">
      <c r="B41" s="540" t="s">
        <v>121</v>
      </c>
      <c r="C41" s="429"/>
      <c r="D41" s="543" t="s">
        <v>87</v>
      </c>
      <c r="E41" s="429"/>
      <c r="F41" s="420" t="s">
        <v>233</v>
      </c>
      <c r="G41" s="439"/>
      <c r="H41" s="442"/>
      <c r="I41" s="443"/>
      <c r="J41" s="444"/>
      <c r="K41" s="445"/>
      <c r="L41" s="439"/>
      <c r="M41" s="442"/>
      <c r="N41" s="443"/>
      <c r="O41" s="444"/>
      <c r="P41" s="445"/>
      <c r="Q41" s="439"/>
      <c r="R41" s="442"/>
      <c r="S41" s="443"/>
      <c r="T41" s="444"/>
      <c r="U41" s="445"/>
      <c r="V41" s="439"/>
      <c r="W41" s="442"/>
      <c r="X41" s="443"/>
      <c r="Y41" s="444"/>
      <c r="Z41" s="445"/>
      <c r="AA41" s="439"/>
      <c r="AB41" s="442"/>
      <c r="AC41" s="443"/>
      <c r="AD41" s="444"/>
      <c r="AE41" s="445"/>
      <c r="AF41" s="439"/>
      <c r="AG41" s="442"/>
      <c r="AH41" s="443"/>
      <c r="AI41" s="444"/>
      <c r="AJ41" s="445"/>
      <c r="AK41" s="439"/>
      <c r="AL41" s="442"/>
      <c r="AM41" s="443"/>
      <c r="AN41" s="444"/>
      <c r="AO41" s="445"/>
      <c r="AP41" s="439"/>
      <c r="AQ41" s="442"/>
      <c r="AR41" s="443"/>
      <c r="AS41" s="444"/>
      <c r="AT41" s="445"/>
      <c r="AU41" s="439"/>
      <c r="AV41" s="442"/>
      <c r="AW41" s="443"/>
      <c r="AX41" s="444"/>
      <c r="AY41" s="445"/>
    </row>
    <row r="42" spans="2:51" ht="15" customHeight="1" x14ac:dyDescent="0.35">
      <c r="B42" s="541"/>
      <c r="C42" s="424" t="s">
        <v>121</v>
      </c>
      <c r="D42" s="544"/>
      <c r="E42" s="425" t="s">
        <v>145</v>
      </c>
      <c r="F42" s="426" t="s">
        <v>152</v>
      </c>
      <c r="G42" s="378"/>
      <c r="H42" s="379"/>
      <c r="I42" s="380"/>
      <c r="J42" s="381"/>
      <c r="K42" s="437" t="str">
        <f>IF(TRIM(J42)="", "", IF(VLOOKUP(J42,'Footnotes list'!$D$9:$E$58,2,FALSE)=0,"",VLOOKUP(J42,'Footnotes list'!$D$9:$E$58,2,FALSE) ) )</f>
        <v/>
      </c>
      <c r="L42" s="378"/>
      <c r="M42" s="379"/>
      <c r="N42" s="380"/>
      <c r="O42" s="381"/>
      <c r="P42" s="437" t="str">
        <f>IF(TRIM(O42)="", "", IF(VLOOKUP(O42,'Footnotes list'!$D$9:$E$58,2,FALSE)=0,"",VLOOKUP(O42,'Footnotes list'!$D$9:$E$58,2,FALSE) ) )</f>
        <v/>
      </c>
      <c r="Q42" s="378"/>
      <c r="R42" s="379"/>
      <c r="S42" s="380"/>
      <c r="T42" s="381"/>
      <c r="U42" s="437" t="str">
        <f>IF(TRIM(T42)="", "", IF(VLOOKUP(T42,'Footnotes list'!$D$9:$E$58,2,FALSE)=0,"",VLOOKUP(T42,'Footnotes list'!$D$9:$E$58,2,FALSE) ) )</f>
        <v/>
      </c>
      <c r="V42" s="378"/>
      <c r="W42" s="379"/>
      <c r="X42" s="380"/>
      <c r="Y42" s="381"/>
      <c r="Z42" s="437" t="str">
        <f>IF(TRIM(Y42)="", "", IF(VLOOKUP(Y42,'Footnotes list'!$D$9:$E$58,2,FALSE)=0,"",VLOOKUP(Y42,'Footnotes list'!$D$9:$E$58,2,FALSE) ) )</f>
        <v/>
      </c>
      <c r="AA42" s="399" t="str">
        <f>IF(AND(TRIM(Q42)="",TRIM(V42)=""),"",Q42+V42)</f>
        <v/>
      </c>
      <c r="AB42" s="379"/>
      <c r="AC42" s="380"/>
      <c r="AD42" s="381"/>
      <c r="AE42" s="437" t="str">
        <f>IF(TRIM(AD42)="", "", IF(VLOOKUP(AD42,'Footnotes list'!$D$9:$E$58,2,FALSE)=0,"",VLOOKUP(AD42,'Footnotes list'!$D$9:$E$58,2,FALSE) ) )</f>
        <v/>
      </c>
      <c r="AF42" s="378"/>
      <c r="AG42" s="379"/>
      <c r="AH42" s="380"/>
      <c r="AI42" s="381"/>
      <c r="AJ42" s="437" t="str">
        <f>IF(TRIM(AI42)="", "", IF(VLOOKUP(AI42,'Footnotes list'!$D$9:$E$58,2,FALSE)=0,"",VLOOKUP(AI42,'Footnotes list'!$D$9:$E$58,2,FALSE) ) )</f>
        <v/>
      </c>
      <c r="AK42" s="378"/>
      <c r="AL42" s="379"/>
      <c r="AM42" s="380"/>
      <c r="AN42" s="381"/>
      <c r="AO42" s="437" t="str">
        <f>IF(TRIM(AN42)="", "", IF(VLOOKUP(AN42,'Footnotes list'!$D$9:$E$58,2,FALSE)=0,"",VLOOKUP(AN42,'Footnotes list'!$D$9:$E$58,2,FALSE) ) )</f>
        <v/>
      </c>
      <c r="AP42" s="399" t="str">
        <f>IF(AND(TRIM(AF42)="",TRIM(AK42)=""),"",AF42+AK42)</f>
        <v/>
      </c>
      <c r="AQ42" s="379"/>
      <c r="AR42" s="380"/>
      <c r="AS42" s="381"/>
      <c r="AT42" s="437" t="str">
        <f>IF(TRIM(AS42)="", "", IF(VLOOKUP(AS42,'Footnotes list'!$D$9:$E$58,2,FALSE)=0,"",VLOOKUP(AS42,'Footnotes list'!$D$9:$E$58,2,FALSE) ) )</f>
        <v/>
      </c>
      <c r="AU42" s="438" t="str">
        <f>IF(AND(TRIM(G42)="",TRIM(L42)="",TRIM(AA42)="",TRIM(AP42)=""),"",SUM(G42,L42,AA42,AP42))</f>
        <v/>
      </c>
      <c r="AV42" s="379"/>
      <c r="AW42" s="380"/>
      <c r="AX42" s="381"/>
      <c r="AY42" s="437" t="str">
        <f>IF(TRIM(AX42)="", "", IF(VLOOKUP(AX42,'Footnotes list'!$D$9:$E$58,2,FALSE)=0,"",VLOOKUP(AX42,'Footnotes list'!$D$9:$E$58,2,FALSE) ) )</f>
        <v/>
      </c>
    </row>
    <row r="43" spans="2:51" ht="15" customHeight="1" thickBot="1" x14ac:dyDescent="0.4">
      <c r="B43" s="542"/>
      <c r="C43" s="427" t="s">
        <v>121</v>
      </c>
      <c r="D43" s="545"/>
      <c r="E43" s="422" t="s">
        <v>146</v>
      </c>
      <c r="F43" s="428" t="s">
        <v>234</v>
      </c>
      <c r="G43" s="394" t="str">
        <f>IF(AND(TRIM(G41)="",TRIM(G42)=""),"",G41+G42)</f>
        <v/>
      </c>
      <c r="H43" s="379"/>
      <c r="I43" s="380"/>
      <c r="J43" s="381"/>
      <c r="K43" s="437" t="str">
        <f>IF(TRIM(J43)="", "", IF(VLOOKUP(J43,'Footnotes list'!$D$9:$E$58,2,FALSE)=0,"",VLOOKUP(J43,'Footnotes list'!$D$9:$E$58,2,FALSE) ) )</f>
        <v/>
      </c>
      <c r="L43" s="394" t="str">
        <f>IF(AND(TRIM(L41)="",TRIM(L42)=""),"",L41+L42)</f>
        <v/>
      </c>
      <c r="M43" s="379"/>
      <c r="N43" s="380"/>
      <c r="O43" s="381"/>
      <c r="P43" s="437" t="str">
        <f>IF(TRIM(O43)="", "", IF(VLOOKUP(O43,'Footnotes list'!$D$9:$E$58,2,FALSE)=0,"",VLOOKUP(O43,'Footnotes list'!$D$9:$E$58,2,FALSE) ) )</f>
        <v/>
      </c>
      <c r="Q43" s="394" t="str">
        <f>IF(AND(TRIM(Q41)="",TRIM(Q42)=""),"",Q41+Q42)</f>
        <v/>
      </c>
      <c r="R43" s="379"/>
      <c r="S43" s="380"/>
      <c r="T43" s="381"/>
      <c r="U43" s="437" t="str">
        <f>IF(TRIM(T43)="", "", IF(VLOOKUP(T43,'Footnotes list'!$D$9:$E$58,2,FALSE)=0,"",VLOOKUP(T43,'Footnotes list'!$D$9:$E$58,2,FALSE) ) )</f>
        <v/>
      </c>
      <c r="V43" s="394" t="str">
        <f>IF(AND(TRIM(V41)="",TRIM(V42)=""),"",V41+V42)</f>
        <v/>
      </c>
      <c r="W43" s="379"/>
      <c r="X43" s="380"/>
      <c r="Y43" s="381"/>
      <c r="Z43" s="437" t="str">
        <f>IF(TRIM(Y43)="", "", IF(VLOOKUP(Y43,'Footnotes list'!$D$9:$E$58,2,FALSE)=0,"",VLOOKUP(Y43,'Footnotes list'!$D$9:$E$58,2,FALSE) ) )</f>
        <v/>
      </c>
      <c r="AA43" s="394" t="str">
        <f>IF(AND(TRIM(AA41)="", TRIM(AA42)=""), "", SUM(AA41,AA42))</f>
        <v/>
      </c>
      <c r="AB43" s="379"/>
      <c r="AC43" s="380"/>
      <c r="AD43" s="381"/>
      <c r="AE43" s="437" t="str">
        <f>IF(TRIM(AD43)="", "", IF(VLOOKUP(AD43,'Footnotes list'!$D$9:$E$58,2,FALSE)=0,"",VLOOKUP(AD43,'Footnotes list'!$D$9:$E$58,2,FALSE) ) )</f>
        <v/>
      </c>
      <c r="AF43" s="394" t="str">
        <f>IF(AND(TRIM(AF41)="",TRIM(AF42)=""),"",AF41+AF42)</f>
        <v/>
      </c>
      <c r="AG43" s="379"/>
      <c r="AH43" s="380"/>
      <c r="AI43" s="381"/>
      <c r="AJ43" s="437" t="str">
        <f>IF(TRIM(AI43)="", "", IF(VLOOKUP(AI43,'Footnotes list'!$D$9:$E$58,2,FALSE)=0,"",VLOOKUP(AI43,'Footnotes list'!$D$9:$E$58,2,FALSE) ) )</f>
        <v/>
      </c>
      <c r="AK43" s="394" t="str">
        <f>IF(AND(TRIM(AK41)="",TRIM(AK42)=""),"",AK41+AK42)</f>
        <v/>
      </c>
      <c r="AL43" s="379"/>
      <c r="AM43" s="380"/>
      <c r="AN43" s="381"/>
      <c r="AO43" s="437" t="str">
        <f>IF(TRIM(AN43)="", "", IF(VLOOKUP(AN43,'Footnotes list'!$D$9:$E$58,2,FALSE)=0,"",VLOOKUP(AN43,'Footnotes list'!$D$9:$E$58,2,FALSE) ) )</f>
        <v/>
      </c>
      <c r="AP43" s="394" t="str">
        <f>IF(AND(TRIM(AP41)="", TRIM(AP42)=""), "", SUM(AP41,AP42))</f>
        <v/>
      </c>
      <c r="AQ43" s="379"/>
      <c r="AR43" s="380"/>
      <c r="AS43" s="381"/>
      <c r="AT43" s="437" t="str">
        <f>IF(TRIM(AS43)="", "", IF(VLOOKUP(AS43,'Footnotes list'!$D$9:$E$58,2,FALSE)=0,"",VLOOKUP(AS43,'Footnotes list'!$D$9:$E$58,2,FALSE) ) )</f>
        <v/>
      </c>
      <c r="AU43" s="394" t="str">
        <f>IF(AND(TRIM(AU41)="", TRIM(AU42)=""), "", SUM(AU41,AU42) )</f>
        <v/>
      </c>
      <c r="AV43" s="379"/>
      <c r="AW43" s="380"/>
      <c r="AX43" s="381"/>
      <c r="AY43" s="437" t="str">
        <f>IF(TRIM(AX43)="", "", IF(VLOOKUP(AX43,'Footnotes list'!$D$9:$E$58,2,FALSE)=0,"",VLOOKUP(AX43,'Footnotes list'!$D$9:$E$58,2,FALSE) ) )</f>
        <v/>
      </c>
    </row>
    <row r="44" spans="2:51" ht="15" customHeight="1" thickBot="1" x14ac:dyDescent="0.4">
      <c r="B44" s="540" t="s">
        <v>122</v>
      </c>
      <c r="C44" s="429"/>
      <c r="D44" s="543" t="s">
        <v>88</v>
      </c>
      <c r="E44" s="429"/>
      <c r="F44" s="420" t="s">
        <v>233</v>
      </c>
      <c r="G44" s="439"/>
      <c r="H44" s="442"/>
      <c r="I44" s="443"/>
      <c r="J44" s="444"/>
      <c r="K44" s="445"/>
      <c r="L44" s="439"/>
      <c r="M44" s="442"/>
      <c r="N44" s="443"/>
      <c r="O44" s="444"/>
      <c r="P44" s="445"/>
      <c r="Q44" s="439"/>
      <c r="R44" s="442"/>
      <c r="S44" s="443"/>
      <c r="T44" s="444"/>
      <c r="U44" s="445"/>
      <c r="V44" s="439"/>
      <c r="W44" s="442"/>
      <c r="X44" s="443"/>
      <c r="Y44" s="444"/>
      <c r="Z44" s="445"/>
      <c r="AA44" s="439"/>
      <c r="AB44" s="442"/>
      <c r="AC44" s="443"/>
      <c r="AD44" s="444"/>
      <c r="AE44" s="445"/>
      <c r="AF44" s="439"/>
      <c r="AG44" s="442"/>
      <c r="AH44" s="443"/>
      <c r="AI44" s="444"/>
      <c r="AJ44" s="445"/>
      <c r="AK44" s="439"/>
      <c r="AL44" s="442"/>
      <c r="AM44" s="443"/>
      <c r="AN44" s="444"/>
      <c r="AO44" s="445"/>
      <c r="AP44" s="439"/>
      <c r="AQ44" s="442"/>
      <c r="AR44" s="443"/>
      <c r="AS44" s="444"/>
      <c r="AT44" s="445"/>
      <c r="AU44" s="439"/>
      <c r="AV44" s="442"/>
      <c r="AW44" s="443"/>
      <c r="AX44" s="444"/>
      <c r="AY44" s="445"/>
    </row>
    <row r="45" spans="2:51" ht="15" customHeight="1" x14ac:dyDescent="0.35">
      <c r="B45" s="541"/>
      <c r="C45" s="424" t="s">
        <v>122</v>
      </c>
      <c r="D45" s="544"/>
      <c r="E45" s="425" t="s">
        <v>145</v>
      </c>
      <c r="F45" s="426" t="s">
        <v>152</v>
      </c>
      <c r="G45" s="378"/>
      <c r="H45" s="379"/>
      <c r="I45" s="380"/>
      <c r="J45" s="381"/>
      <c r="K45" s="437" t="str">
        <f>IF(TRIM(J45)="", "", IF(VLOOKUP(J45,'Footnotes list'!$D$9:$E$58,2,FALSE)=0,"",VLOOKUP(J45,'Footnotes list'!$D$9:$E$58,2,FALSE) ) )</f>
        <v/>
      </c>
      <c r="L45" s="378"/>
      <c r="M45" s="379"/>
      <c r="N45" s="380"/>
      <c r="O45" s="381"/>
      <c r="P45" s="437" t="str">
        <f>IF(TRIM(O45)="", "", IF(VLOOKUP(O45,'Footnotes list'!$D$9:$E$58,2,FALSE)=0,"",VLOOKUP(O45,'Footnotes list'!$D$9:$E$58,2,FALSE) ) )</f>
        <v/>
      </c>
      <c r="Q45" s="378"/>
      <c r="R45" s="379"/>
      <c r="S45" s="380"/>
      <c r="T45" s="381"/>
      <c r="U45" s="437" t="str">
        <f>IF(TRIM(T45)="", "", IF(VLOOKUP(T45,'Footnotes list'!$D$9:$E$58,2,FALSE)=0,"",VLOOKUP(T45,'Footnotes list'!$D$9:$E$58,2,FALSE) ) )</f>
        <v/>
      </c>
      <c r="V45" s="378"/>
      <c r="W45" s="379"/>
      <c r="X45" s="380"/>
      <c r="Y45" s="381"/>
      <c r="Z45" s="437" t="str">
        <f>IF(TRIM(Y45)="", "", IF(VLOOKUP(Y45,'Footnotes list'!$D$9:$E$58,2,FALSE)=0,"",VLOOKUP(Y45,'Footnotes list'!$D$9:$E$58,2,FALSE) ) )</f>
        <v/>
      </c>
      <c r="AA45" s="399" t="str">
        <f>IF(AND(TRIM(Q45)="",TRIM(V45)=""),"",Q45+V45)</f>
        <v/>
      </c>
      <c r="AB45" s="379"/>
      <c r="AC45" s="380"/>
      <c r="AD45" s="381"/>
      <c r="AE45" s="437" t="str">
        <f>IF(TRIM(AD45)="", "", IF(VLOOKUP(AD45,'Footnotes list'!$D$9:$E$58,2,FALSE)=0,"",VLOOKUP(AD45,'Footnotes list'!$D$9:$E$58,2,FALSE) ) )</f>
        <v/>
      </c>
      <c r="AF45" s="378"/>
      <c r="AG45" s="379"/>
      <c r="AH45" s="380"/>
      <c r="AI45" s="381"/>
      <c r="AJ45" s="437" t="str">
        <f>IF(TRIM(AI45)="", "", IF(VLOOKUP(AI45,'Footnotes list'!$D$9:$E$58,2,FALSE)=0,"",VLOOKUP(AI45,'Footnotes list'!$D$9:$E$58,2,FALSE) ) )</f>
        <v/>
      </c>
      <c r="AK45" s="378"/>
      <c r="AL45" s="379"/>
      <c r="AM45" s="380"/>
      <c r="AN45" s="381"/>
      <c r="AO45" s="437" t="str">
        <f>IF(TRIM(AN45)="", "", IF(VLOOKUP(AN45,'Footnotes list'!$D$9:$E$58,2,FALSE)=0,"",VLOOKUP(AN45,'Footnotes list'!$D$9:$E$58,2,FALSE) ) )</f>
        <v/>
      </c>
      <c r="AP45" s="399" t="str">
        <f>IF(AND(TRIM(AF45)="",TRIM(AK45)=""),"",AF45+AK45)</f>
        <v/>
      </c>
      <c r="AQ45" s="379"/>
      <c r="AR45" s="380"/>
      <c r="AS45" s="381"/>
      <c r="AT45" s="437" t="str">
        <f>IF(TRIM(AS45)="", "", IF(VLOOKUP(AS45,'Footnotes list'!$D$9:$E$58,2,FALSE)=0,"",VLOOKUP(AS45,'Footnotes list'!$D$9:$E$58,2,FALSE) ) )</f>
        <v/>
      </c>
      <c r="AU45" s="438" t="str">
        <f>IF(AND(TRIM(G45)="",TRIM(L45)="",TRIM(AA45)="",TRIM(AP45)=""),"",SUM(G45,L45,AA45,AP45))</f>
        <v/>
      </c>
      <c r="AV45" s="379"/>
      <c r="AW45" s="380"/>
      <c r="AX45" s="381"/>
      <c r="AY45" s="437" t="str">
        <f>IF(TRIM(AX45)="", "", IF(VLOOKUP(AX45,'Footnotes list'!$D$9:$E$58,2,FALSE)=0,"",VLOOKUP(AX45,'Footnotes list'!$D$9:$E$58,2,FALSE) ) )</f>
        <v/>
      </c>
    </row>
    <row r="46" spans="2:51" ht="15" customHeight="1" thickBot="1" x14ac:dyDescent="0.4">
      <c r="B46" s="542"/>
      <c r="C46" s="427" t="s">
        <v>122</v>
      </c>
      <c r="D46" s="545"/>
      <c r="E46" s="422" t="s">
        <v>146</v>
      </c>
      <c r="F46" s="428" t="s">
        <v>234</v>
      </c>
      <c r="G46" s="394" t="str">
        <f>IF(AND(TRIM(G44)="",TRIM(G45)=""),"",G44+G45)</f>
        <v/>
      </c>
      <c r="H46" s="379"/>
      <c r="I46" s="380"/>
      <c r="J46" s="381"/>
      <c r="K46" s="437" t="str">
        <f>IF(TRIM(J46)="", "", IF(VLOOKUP(J46,'Footnotes list'!$D$9:$E$58,2,FALSE)=0,"",VLOOKUP(J46,'Footnotes list'!$D$9:$E$58,2,FALSE) ) )</f>
        <v/>
      </c>
      <c r="L46" s="394" t="str">
        <f>IF(AND(TRIM(L44)="",TRIM(L45)=""),"",L44+L45)</f>
        <v/>
      </c>
      <c r="M46" s="379"/>
      <c r="N46" s="380"/>
      <c r="O46" s="381"/>
      <c r="P46" s="437" t="str">
        <f>IF(TRIM(O46)="", "", IF(VLOOKUP(O46,'Footnotes list'!$D$9:$E$58,2,FALSE)=0,"",VLOOKUP(O46,'Footnotes list'!$D$9:$E$58,2,FALSE) ) )</f>
        <v/>
      </c>
      <c r="Q46" s="394" t="str">
        <f>IF(AND(TRIM(Q44)="",TRIM(Q45)=""),"",Q44+Q45)</f>
        <v/>
      </c>
      <c r="R46" s="379"/>
      <c r="S46" s="380"/>
      <c r="T46" s="381"/>
      <c r="U46" s="437" t="str">
        <f>IF(TRIM(T46)="", "", IF(VLOOKUP(T46,'Footnotes list'!$D$9:$E$58,2,FALSE)=0,"",VLOOKUP(T46,'Footnotes list'!$D$9:$E$58,2,FALSE) ) )</f>
        <v/>
      </c>
      <c r="V46" s="394" t="str">
        <f>IF(AND(TRIM(V44)="",TRIM(V45)=""),"",V44+V45)</f>
        <v/>
      </c>
      <c r="W46" s="379"/>
      <c r="X46" s="380"/>
      <c r="Y46" s="381"/>
      <c r="Z46" s="437" t="str">
        <f>IF(TRIM(Y46)="", "", IF(VLOOKUP(Y46,'Footnotes list'!$D$9:$E$58,2,FALSE)=0,"",VLOOKUP(Y46,'Footnotes list'!$D$9:$E$58,2,FALSE) ) )</f>
        <v/>
      </c>
      <c r="AA46" s="394" t="str">
        <f>IF(AND(TRIM(AA44)="", TRIM(AA45)=""), "", SUM(AA44,AA45))</f>
        <v/>
      </c>
      <c r="AB46" s="379"/>
      <c r="AC46" s="380"/>
      <c r="AD46" s="381"/>
      <c r="AE46" s="437" t="str">
        <f>IF(TRIM(AD46)="", "", IF(VLOOKUP(AD46,'Footnotes list'!$D$9:$E$58,2,FALSE)=0,"",VLOOKUP(AD46,'Footnotes list'!$D$9:$E$58,2,FALSE) ) )</f>
        <v/>
      </c>
      <c r="AF46" s="394" t="str">
        <f>IF(AND(TRIM(AF44)="",TRIM(AF45)=""),"",AF44+AF45)</f>
        <v/>
      </c>
      <c r="AG46" s="379"/>
      <c r="AH46" s="380"/>
      <c r="AI46" s="381"/>
      <c r="AJ46" s="437" t="str">
        <f>IF(TRIM(AI46)="", "", IF(VLOOKUP(AI46,'Footnotes list'!$D$9:$E$58,2,FALSE)=0,"",VLOOKUP(AI46,'Footnotes list'!$D$9:$E$58,2,FALSE) ) )</f>
        <v/>
      </c>
      <c r="AK46" s="394" t="str">
        <f>IF(AND(TRIM(AK44)="",TRIM(AK45)=""),"",AK44+AK45)</f>
        <v/>
      </c>
      <c r="AL46" s="379"/>
      <c r="AM46" s="380"/>
      <c r="AN46" s="381"/>
      <c r="AO46" s="437" t="str">
        <f>IF(TRIM(AN46)="", "", IF(VLOOKUP(AN46,'Footnotes list'!$D$9:$E$58,2,FALSE)=0,"",VLOOKUP(AN46,'Footnotes list'!$D$9:$E$58,2,FALSE) ) )</f>
        <v/>
      </c>
      <c r="AP46" s="394" t="str">
        <f>IF(AND(TRIM(AP44)="", TRIM(AP45)=""), "", SUM(AP44,AP45))</f>
        <v/>
      </c>
      <c r="AQ46" s="379"/>
      <c r="AR46" s="380"/>
      <c r="AS46" s="381"/>
      <c r="AT46" s="437" t="str">
        <f>IF(TRIM(AS46)="", "", IF(VLOOKUP(AS46,'Footnotes list'!$D$9:$E$58,2,FALSE)=0,"",VLOOKUP(AS46,'Footnotes list'!$D$9:$E$58,2,FALSE) ) )</f>
        <v/>
      </c>
      <c r="AU46" s="394" t="str">
        <f>IF(AND(TRIM(AU44)="", TRIM(AU45)=""), "", SUM(AU44,AU45) )</f>
        <v/>
      </c>
      <c r="AV46" s="379"/>
      <c r="AW46" s="380"/>
      <c r="AX46" s="381"/>
      <c r="AY46" s="437" t="str">
        <f>IF(TRIM(AX46)="", "", IF(VLOOKUP(AX46,'Footnotes list'!$D$9:$E$58,2,FALSE)=0,"",VLOOKUP(AX46,'Footnotes list'!$D$9:$E$58,2,FALSE) ) )</f>
        <v/>
      </c>
    </row>
    <row r="47" spans="2:51" ht="15" customHeight="1" thickBot="1" x14ac:dyDescent="0.4">
      <c r="B47" s="540" t="s">
        <v>123</v>
      </c>
      <c r="C47" s="429"/>
      <c r="D47" s="543" t="s">
        <v>89</v>
      </c>
      <c r="E47" s="429"/>
      <c r="F47" s="420" t="s">
        <v>233</v>
      </c>
      <c r="G47" s="439"/>
      <c r="H47" s="442"/>
      <c r="I47" s="443"/>
      <c r="J47" s="444"/>
      <c r="K47" s="445"/>
      <c r="L47" s="439"/>
      <c r="M47" s="442"/>
      <c r="N47" s="443"/>
      <c r="O47" s="444"/>
      <c r="P47" s="445"/>
      <c r="Q47" s="439"/>
      <c r="R47" s="442"/>
      <c r="S47" s="443"/>
      <c r="T47" s="444"/>
      <c r="U47" s="445"/>
      <c r="V47" s="439"/>
      <c r="W47" s="442"/>
      <c r="X47" s="443"/>
      <c r="Y47" s="444"/>
      <c r="Z47" s="445"/>
      <c r="AA47" s="439"/>
      <c r="AB47" s="442"/>
      <c r="AC47" s="443"/>
      <c r="AD47" s="444"/>
      <c r="AE47" s="445"/>
      <c r="AF47" s="439"/>
      <c r="AG47" s="442"/>
      <c r="AH47" s="443"/>
      <c r="AI47" s="444"/>
      <c r="AJ47" s="445"/>
      <c r="AK47" s="439"/>
      <c r="AL47" s="442"/>
      <c r="AM47" s="443"/>
      <c r="AN47" s="444"/>
      <c r="AO47" s="445"/>
      <c r="AP47" s="439"/>
      <c r="AQ47" s="442"/>
      <c r="AR47" s="443"/>
      <c r="AS47" s="444"/>
      <c r="AT47" s="445"/>
      <c r="AU47" s="439"/>
      <c r="AV47" s="442"/>
      <c r="AW47" s="443"/>
      <c r="AX47" s="444"/>
      <c r="AY47" s="445"/>
    </row>
    <row r="48" spans="2:51" ht="15" customHeight="1" x14ac:dyDescent="0.35">
      <c r="B48" s="541"/>
      <c r="C48" s="424" t="s">
        <v>123</v>
      </c>
      <c r="D48" s="544"/>
      <c r="E48" s="425" t="s">
        <v>145</v>
      </c>
      <c r="F48" s="426" t="s">
        <v>152</v>
      </c>
      <c r="G48" s="378"/>
      <c r="H48" s="379"/>
      <c r="I48" s="380"/>
      <c r="J48" s="381"/>
      <c r="K48" s="437" t="str">
        <f>IF(TRIM(J48)="", "", IF(VLOOKUP(J48,'Footnotes list'!$D$9:$E$58,2,FALSE)=0,"",VLOOKUP(J48,'Footnotes list'!$D$9:$E$58,2,FALSE) ) )</f>
        <v/>
      </c>
      <c r="L48" s="378"/>
      <c r="M48" s="379"/>
      <c r="N48" s="380"/>
      <c r="O48" s="381"/>
      <c r="P48" s="437" t="str">
        <f>IF(TRIM(O48)="", "", IF(VLOOKUP(O48,'Footnotes list'!$D$9:$E$58,2,FALSE)=0,"",VLOOKUP(O48,'Footnotes list'!$D$9:$E$58,2,FALSE) ) )</f>
        <v/>
      </c>
      <c r="Q48" s="378"/>
      <c r="R48" s="379"/>
      <c r="S48" s="380"/>
      <c r="T48" s="381"/>
      <c r="U48" s="437" t="str">
        <f>IF(TRIM(T48)="", "", IF(VLOOKUP(T48,'Footnotes list'!$D$9:$E$58,2,FALSE)=0,"",VLOOKUP(T48,'Footnotes list'!$D$9:$E$58,2,FALSE) ) )</f>
        <v/>
      </c>
      <c r="V48" s="378"/>
      <c r="W48" s="379"/>
      <c r="X48" s="380"/>
      <c r="Y48" s="381"/>
      <c r="Z48" s="437" t="str">
        <f>IF(TRIM(Y48)="", "", IF(VLOOKUP(Y48,'Footnotes list'!$D$9:$E$58,2,FALSE)=0,"",VLOOKUP(Y48,'Footnotes list'!$D$9:$E$58,2,FALSE) ) )</f>
        <v/>
      </c>
      <c r="AA48" s="399" t="str">
        <f>IF(AND(TRIM(Q48)="",TRIM(V48)=""),"",Q48+V48)</f>
        <v/>
      </c>
      <c r="AB48" s="379"/>
      <c r="AC48" s="380"/>
      <c r="AD48" s="381"/>
      <c r="AE48" s="437" t="str">
        <f>IF(TRIM(AD48)="", "", IF(VLOOKUP(AD48,'Footnotes list'!$D$9:$E$58,2,FALSE)=0,"",VLOOKUP(AD48,'Footnotes list'!$D$9:$E$58,2,FALSE) ) )</f>
        <v/>
      </c>
      <c r="AF48" s="378"/>
      <c r="AG48" s="379"/>
      <c r="AH48" s="380"/>
      <c r="AI48" s="381"/>
      <c r="AJ48" s="437" t="str">
        <f>IF(TRIM(AI48)="", "", IF(VLOOKUP(AI48,'Footnotes list'!$D$9:$E$58,2,FALSE)=0,"",VLOOKUP(AI48,'Footnotes list'!$D$9:$E$58,2,FALSE) ) )</f>
        <v/>
      </c>
      <c r="AK48" s="378"/>
      <c r="AL48" s="379"/>
      <c r="AM48" s="380"/>
      <c r="AN48" s="381"/>
      <c r="AO48" s="437" t="str">
        <f>IF(TRIM(AN48)="", "", IF(VLOOKUP(AN48,'Footnotes list'!$D$9:$E$58,2,FALSE)=0,"",VLOOKUP(AN48,'Footnotes list'!$D$9:$E$58,2,FALSE) ) )</f>
        <v/>
      </c>
      <c r="AP48" s="399" t="str">
        <f>IF(AND(TRIM(AF48)="",TRIM(AK48)=""),"",AF48+AK48)</f>
        <v/>
      </c>
      <c r="AQ48" s="379"/>
      <c r="AR48" s="380"/>
      <c r="AS48" s="381"/>
      <c r="AT48" s="437" t="str">
        <f>IF(TRIM(AS48)="", "", IF(VLOOKUP(AS48,'Footnotes list'!$D$9:$E$58,2,FALSE)=0,"",VLOOKUP(AS48,'Footnotes list'!$D$9:$E$58,2,FALSE) ) )</f>
        <v/>
      </c>
      <c r="AU48" s="438" t="str">
        <f>IF(AND(TRIM(G48)="",TRIM(L48)="",TRIM(AA48)="",TRIM(AP48)=""),"",SUM(G48,L48,AA48,AP48))</f>
        <v/>
      </c>
      <c r="AV48" s="379"/>
      <c r="AW48" s="380"/>
      <c r="AX48" s="381"/>
      <c r="AY48" s="437" t="str">
        <f>IF(TRIM(AX48)="", "", IF(VLOOKUP(AX48,'Footnotes list'!$D$9:$E$58,2,FALSE)=0,"",VLOOKUP(AX48,'Footnotes list'!$D$9:$E$58,2,FALSE) ) )</f>
        <v/>
      </c>
    </row>
    <row r="49" spans="2:51" ht="15" customHeight="1" thickBot="1" x14ac:dyDescent="0.4">
      <c r="B49" s="542"/>
      <c r="C49" s="427" t="s">
        <v>123</v>
      </c>
      <c r="D49" s="545"/>
      <c r="E49" s="422" t="s">
        <v>146</v>
      </c>
      <c r="F49" s="428" t="s">
        <v>234</v>
      </c>
      <c r="G49" s="394" t="str">
        <f>IF(AND(TRIM(G47)="",TRIM(G48)=""),"",G47+G48)</f>
        <v/>
      </c>
      <c r="H49" s="379"/>
      <c r="I49" s="380"/>
      <c r="J49" s="381"/>
      <c r="K49" s="437" t="str">
        <f>IF(TRIM(J49)="", "", IF(VLOOKUP(J49,'Footnotes list'!$D$9:$E$58,2,FALSE)=0,"",VLOOKUP(J49,'Footnotes list'!$D$9:$E$58,2,FALSE) ) )</f>
        <v/>
      </c>
      <c r="L49" s="394" t="str">
        <f>IF(AND(TRIM(L47)="",TRIM(L48)=""),"",L47+L48)</f>
        <v/>
      </c>
      <c r="M49" s="379"/>
      <c r="N49" s="380"/>
      <c r="O49" s="381"/>
      <c r="P49" s="437" t="str">
        <f>IF(TRIM(O49)="", "", IF(VLOOKUP(O49,'Footnotes list'!$D$9:$E$58,2,FALSE)=0,"",VLOOKUP(O49,'Footnotes list'!$D$9:$E$58,2,FALSE) ) )</f>
        <v/>
      </c>
      <c r="Q49" s="394" t="str">
        <f>IF(AND(TRIM(Q47)="",TRIM(Q48)=""),"",Q47+Q48)</f>
        <v/>
      </c>
      <c r="R49" s="379"/>
      <c r="S49" s="380"/>
      <c r="T49" s="381"/>
      <c r="U49" s="437" t="str">
        <f>IF(TRIM(T49)="", "", IF(VLOOKUP(T49,'Footnotes list'!$D$9:$E$58,2,FALSE)=0,"",VLOOKUP(T49,'Footnotes list'!$D$9:$E$58,2,FALSE) ) )</f>
        <v/>
      </c>
      <c r="V49" s="394" t="str">
        <f>IF(AND(TRIM(V47)="",TRIM(V48)=""),"",V47+V48)</f>
        <v/>
      </c>
      <c r="W49" s="379"/>
      <c r="X49" s="380"/>
      <c r="Y49" s="381"/>
      <c r="Z49" s="437" t="str">
        <f>IF(TRIM(Y49)="", "", IF(VLOOKUP(Y49,'Footnotes list'!$D$9:$E$58,2,FALSE)=0,"",VLOOKUP(Y49,'Footnotes list'!$D$9:$E$58,2,FALSE) ) )</f>
        <v/>
      </c>
      <c r="AA49" s="394" t="str">
        <f>IF(AND(TRIM(AA47)="", TRIM(AA48)=""), "", SUM(AA47,AA48))</f>
        <v/>
      </c>
      <c r="AB49" s="379"/>
      <c r="AC49" s="380"/>
      <c r="AD49" s="381"/>
      <c r="AE49" s="437" t="str">
        <f>IF(TRIM(AD49)="", "", IF(VLOOKUP(AD49,'Footnotes list'!$D$9:$E$58,2,FALSE)=0,"",VLOOKUP(AD49,'Footnotes list'!$D$9:$E$58,2,FALSE) ) )</f>
        <v/>
      </c>
      <c r="AF49" s="394" t="str">
        <f>IF(AND(TRIM(AF47)="",TRIM(AF48)=""),"",AF47+AF48)</f>
        <v/>
      </c>
      <c r="AG49" s="379"/>
      <c r="AH49" s="380"/>
      <c r="AI49" s="381"/>
      <c r="AJ49" s="437" t="str">
        <f>IF(TRIM(AI49)="", "", IF(VLOOKUP(AI49,'Footnotes list'!$D$9:$E$58,2,FALSE)=0,"",VLOOKUP(AI49,'Footnotes list'!$D$9:$E$58,2,FALSE) ) )</f>
        <v/>
      </c>
      <c r="AK49" s="394" t="str">
        <f>IF(AND(TRIM(AK47)="",TRIM(AK48)=""),"",AK47+AK48)</f>
        <v/>
      </c>
      <c r="AL49" s="379"/>
      <c r="AM49" s="380"/>
      <c r="AN49" s="381"/>
      <c r="AO49" s="437" t="str">
        <f>IF(TRIM(AN49)="", "", IF(VLOOKUP(AN49,'Footnotes list'!$D$9:$E$58,2,FALSE)=0,"",VLOOKUP(AN49,'Footnotes list'!$D$9:$E$58,2,FALSE) ) )</f>
        <v/>
      </c>
      <c r="AP49" s="394" t="str">
        <f>IF(AND(TRIM(AP47)="", TRIM(AP48)=""), "", SUM(AP47,AP48))</f>
        <v/>
      </c>
      <c r="AQ49" s="379"/>
      <c r="AR49" s="380"/>
      <c r="AS49" s="381"/>
      <c r="AT49" s="437" t="str">
        <f>IF(TRIM(AS49)="", "", IF(VLOOKUP(AS49,'Footnotes list'!$D$9:$E$58,2,FALSE)=0,"",VLOOKUP(AS49,'Footnotes list'!$D$9:$E$58,2,FALSE) ) )</f>
        <v/>
      </c>
      <c r="AU49" s="394" t="str">
        <f>IF(AND(TRIM(AU47)="", TRIM(AU48)=""), "", SUM(AU47,AU48) )</f>
        <v/>
      </c>
      <c r="AV49" s="379"/>
      <c r="AW49" s="380"/>
      <c r="AX49" s="381"/>
      <c r="AY49" s="437" t="str">
        <f>IF(TRIM(AX49)="", "", IF(VLOOKUP(AX49,'Footnotes list'!$D$9:$E$58,2,FALSE)=0,"",VLOOKUP(AX49,'Footnotes list'!$D$9:$E$58,2,FALSE) ) )</f>
        <v/>
      </c>
    </row>
    <row r="50" spans="2:51" ht="15" customHeight="1" x14ac:dyDescent="0.35">
      <c r="B50" s="540" t="s">
        <v>124</v>
      </c>
      <c r="C50" s="416" t="s">
        <v>124</v>
      </c>
      <c r="D50" s="543" t="s">
        <v>90</v>
      </c>
      <c r="E50" s="417" t="s">
        <v>144</v>
      </c>
      <c r="F50" s="418" t="s">
        <v>151</v>
      </c>
      <c r="G50" s="372"/>
      <c r="H50" s="373"/>
      <c r="I50" s="374"/>
      <c r="J50" s="375"/>
      <c r="K50" s="433" t="str">
        <f>IF(TRIM(J50)="", "", IF(VLOOKUP(J50,'Footnotes list'!$D$9:$E$58,2,FALSE)=0,"",VLOOKUP(J50,'Footnotes list'!$D$9:$E$58,2,FALSE) ) )</f>
        <v/>
      </c>
      <c r="L50" s="372"/>
      <c r="M50" s="373"/>
      <c r="N50" s="374"/>
      <c r="O50" s="375"/>
      <c r="P50" s="433" t="str">
        <f>IF(TRIM(O50)="", "", IF(VLOOKUP(O50,'Footnotes list'!$D$9:$E$58,2,FALSE)=0,"",VLOOKUP(O50,'Footnotes list'!$D$9:$E$58,2,FALSE) ) )</f>
        <v/>
      </c>
      <c r="Q50" s="372"/>
      <c r="R50" s="373"/>
      <c r="S50" s="374"/>
      <c r="T50" s="375"/>
      <c r="U50" s="433" t="str">
        <f>IF(TRIM(T50)="", "", IF(VLOOKUP(T50,'Footnotes list'!$D$9:$E$58,2,FALSE)=0,"",VLOOKUP(T50,'Footnotes list'!$D$9:$E$58,2,FALSE) ) )</f>
        <v/>
      </c>
      <c r="V50" s="372"/>
      <c r="W50" s="373"/>
      <c r="X50" s="374"/>
      <c r="Y50" s="375"/>
      <c r="Z50" s="433" t="str">
        <f>IF(TRIM(Y50)="", "", IF(VLOOKUP(Y50,'Footnotes list'!$D$9:$E$58,2,FALSE)=0,"",VLOOKUP(Y50,'Footnotes list'!$D$9:$E$58,2,FALSE) ) )</f>
        <v/>
      </c>
      <c r="AA50" s="400" t="str">
        <f>IF(AND(TRIM(Q50)="",TRIM(V50)=""),"",Q50+V50)</f>
        <v/>
      </c>
      <c r="AB50" s="373"/>
      <c r="AC50" s="374"/>
      <c r="AD50" s="375"/>
      <c r="AE50" s="433" t="str">
        <f>IF(TRIM(AD50)="", "", IF(VLOOKUP(AD50,'Footnotes list'!$D$9:$E$58,2,FALSE)=0,"",VLOOKUP(AD50,'Footnotes list'!$D$9:$E$58,2,FALSE) ) )</f>
        <v/>
      </c>
      <c r="AF50" s="372"/>
      <c r="AG50" s="373"/>
      <c r="AH50" s="374"/>
      <c r="AI50" s="375"/>
      <c r="AJ50" s="433" t="str">
        <f>IF(TRIM(AI50)="", "", IF(VLOOKUP(AI50,'Footnotes list'!$D$9:$E$58,2,FALSE)=0,"",VLOOKUP(AI50,'Footnotes list'!$D$9:$E$58,2,FALSE) ) )</f>
        <v/>
      </c>
      <c r="AK50" s="372"/>
      <c r="AL50" s="373"/>
      <c r="AM50" s="374"/>
      <c r="AN50" s="375"/>
      <c r="AO50" s="433" t="str">
        <f>IF(TRIM(AN50)="", "", IF(VLOOKUP(AN50,'Footnotes list'!$D$9:$E$58,2,FALSE)=0,"",VLOOKUP(AN50,'Footnotes list'!$D$9:$E$58,2,FALSE) ) )</f>
        <v/>
      </c>
      <c r="AP50" s="400" t="str">
        <f>IF(AND(TRIM(AF50)="",TRIM(AK50)=""),"",AF50+AK50)</f>
        <v/>
      </c>
      <c r="AQ50" s="373"/>
      <c r="AR50" s="374"/>
      <c r="AS50" s="375"/>
      <c r="AT50" s="433" t="str">
        <f>IF(TRIM(AS50)="", "", IF(VLOOKUP(AS50,'Footnotes list'!$D$9:$E$58,2,FALSE)=0,"",VLOOKUP(AS50,'Footnotes list'!$D$9:$E$58,2,FALSE) ) )</f>
        <v/>
      </c>
      <c r="AU50" s="400" t="str">
        <f>IF(AND(TRIM(G50)="",TRIM(L50)="",TRIM(AA50)="",TRIM(AP50)=""),"",SUM(G50,L50,AA50,AP50))</f>
        <v/>
      </c>
      <c r="AV50" s="373"/>
      <c r="AW50" s="374"/>
      <c r="AX50" s="375"/>
      <c r="AY50" s="433" t="str">
        <f>IF(TRIM(AX50)="", "", IF(VLOOKUP(AX50,'Footnotes list'!$D$9:$E$58,2,FALSE)=0,"",VLOOKUP(AX50,'Footnotes list'!$D$9:$E$58,2,FALSE) ) )</f>
        <v/>
      </c>
    </row>
    <row r="51" spans="2:51" ht="15" customHeight="1" x14ac:dyDescent="0.35">
      <c r="B51" s="541"/>
      <c r="C51" s="424" t="s">
        <v>124</v>
      </c>
      <c r="D51" s="544"/>
      <c r="E51" s="425" t="s">
        <v>145</v>
      </c>
      <c r="F51" s="426" t="s">
        <v>152</v>
      </c>
      <c r="G51" s="378"/>
      <c r="H51" s="379"/>
      <c r="I51" s="380"/>
      <c r="J51" s="381"/>
      <c r="K51" s="437" t="str">
        <f>IF(TRIM(J51)="", "", IF(VLOOKUP(J51,'Footnotes list'!$D$9:$E$58,2,FALSE)=0,"",VLOOKUP(J51,'Footnotes list'!$D$9:$E$58,2,FALSE) ) )</f>
        <v/>
      </c>
      <c r="L51" s="378"/>
      <c r="M51" s="379"/>
      <c r="N51" s="380"/>
      <c r="O51" s="381"/>
      <c r="P51" s="437" t="str">
        <f>IF(TRIM(O51)="", "", IF(VLOOKUP(O51,'Footnotes list'!$D$9:$E$58,2,FALSE)=0,"",VLOOKUP(O51,'Footnotes list'!$D$9:$E$58,2,FALSE) ) )</f>
        <v/>
      </c>
      <c r="Q51" s="378"/>
      <c r="R51" s="379"/>
      <c r="S51" s="380"/>
      <c r="T51" s="381"/>
      <c r="U51" s="437" t="str">
        <f>IF(TRIM(T51)="", "", IF(VLOOKUP(T51,'Footnotes list'!$D$9:$E$58,2,FALSE)=0,"",VLOOKUP(T51,'Footnotes list'!$D$9:$E$58,2,FALSE) ) )</f>
        <v/>
      </c>
      <c r="V51" s="378"/>
      <c r="W51" s="379"/>
      <c r="X51" s="380"/>
      <c r="Y51" s="381"/>
      <c r="Z51" s="437" t="str">
        <f>IF(TRIM(Y51)="", "", IF(VLOOKUP(Y51,'Footnotes list'!$D$9:$E$58,2,FALSE)=0,"",VLOOKUP(Y51,'Footnotes list'!$D$9:$E$58,2,FALSE) ) )</f>
        <v/>
      </c>
      <c r="AA51" s="399" t="str">
        <f>IF(AND(TRIM(Q51)="",TRIM(V51)=""),"",Q51+V51)</f>
        <v/>
      </c>
      <c r="AB51" s="379"/>
      <c r="AC51" s="380"/>
      <c r="AD51" s="381"/>
      <c r="AE51" s="437" t="str">
        <f>IF(TRIM(AD51)="", "", IF(VLOOKUP(AD51,'Footnotes list'!$D$9:$E$58,2,FALSE)=0,"",VLOOKUP(AD51,'Footnotes list'!$D$9:$E$58,2,FALSE) ) )</f>
        <v/>
      </c>
      <c r="AF51" s="378"/>
      <c r="AG51" s="379"/>
      <c r="AH51" s="380"/>
      <c r="AI51" s="381"/>
      <c r="AJ51" s="437" t="str">
        <f>IF(TRIM(AI51)="", "", IF(VLOOKUP(AI51,'Footnotes list'!$D$9:$E$58,2,FALSE)=0,"",VLOOKUP(AI51,'Footnotes list'!$D$9:$E$58,2,FALSE) ) )</f>
        <v/>
      </c>
      <c r="AK51" s="378"/>
      <c r="AL51" s="379"/>
      <c r="AM51" s="380"/>
      <c r="AN51" s="381"/>
      <c r="AO51" s="437" t="str">
        <f>IF(TRIM(AN51)="", "", IF(VLOOKUP(AN51,'Footnotes list'!$D$9:$E$58,2,FALSE)=0,"",VLOOKUP(AN51,'Footnotes list'!$D$9:$E$58,2,FALSE) ) )</f>
        <v/>
      </c>
      <c r="AP51" s="399" t="str">
        <f>IF(AND(TRIM(AF51)="",TRIM(AK51)=""),"",AF51+AK51)</f>
        <v/>
      </c>
      <c r="AQ51" s="379"/>
      <c r="AR51" s="380"/>
      <c r="AS51" s="381"/>
      <c r="AT51" s="437" t="str">
        <f>IF(TRIM(AS51)="", "", IF(VLOOKUP(AS51,'Footnotes list'!$D$9:$E$58,2,FALSE)=0,"",VLOOKUP(AS51,'Footnotes list'!$D$9:$E$58,2,FALSE) ) )</f>
        <v/>
      </c>
      <c r="AU51" s="438" t="str">
        <f>IF(AND(TRIM(G51)="",TRIM(L51)="",TRIM(AA51)="",TRIM(AP51)=""),"",SUM(G51,L51,AA51,AP51))</f>
        <v/>
      </c>
      <c r="AV51" s="379"/>
      <c r="AW51" s="380"/>
      <c r="AX51" s="381"/>
      <c r="AY51" s="437" t="str">
        <f>IF(TRIM(AX51)="", "", IF(VLOOKUP(AX51,'Footnotes list'!$D$9:$E$58,2,FALSE)=0,"",VLOOKUP(AX51,'Footnotes list'!$D$9:$E$58,2,FALSE) ) )</f>
        <v/>
      </c>
    </row>
    <row r="52" spans="2:51" ht="15" customHeight="1" thickBot="1" x14ac:dyDescent="0.4">
      <c r="B52" s="542"/>
      <c r="C52" s="427" t="s">
        <v>124</v>
      </c>
      <c r="D52" s="545"/>
      <c r="E52" s="422" t="s">
        <v>146</v>
      </c>
      <c r="F52" s="428" t="s">
        <v>234</v>
      </c>
      <c r="G52" s="394" t="str">
        <f>IF(AND(TRIM(G50)="",TRIM(G51)=""),"",G50+G51)</f>
        <v/>
      </c>
      <c r="H52" s="379"/>
      <c r="I52" s="380"/>
      <c r="J52" s="381"/>
      <c r="K52" s="437" t="str">
        <f>IF(TRIM(J52)="", "", IF(VLOOKUP(J52,'Footnotes list'!$D$9:$E$58,2,FALSE)=0,"",VLOOKUP(J52,'Footnotes list'!$D$9:$E$58,2,FALSE) ) )</f>
        <v/>
      </c>
      <c r="L52" s="394" t="str">
        <f>IF(AND(TRIM(L50)="",TRIM(L51)=""),"",L50+L51)</f>
        <v/>
      </c>
      <c r="M52" s="379"/>
      <c r="N52" s="380"/>
      <c r="O52" s="381"/>
      <c r="P52" s="437" t="str">
        <f>IF(TRIM(O52)="", "", IF(VLOOKUP(O52,'Footnotes list'!$D$9:$E$58,2,FALSE)=0,"",VLOOKUP(O52,'Footnotes list'!$D$9:$E$58,2,FALSE) ) )</f>
        <v/>
      </c>
      <c r="Q52" s="394" t="str">
        <f>IF(AND(TRIM(Q50)="",TRIM(Q51)=""),"",Q50+Q51)</f>
        <v/>
      </c>
      <c r="R52" s="379"/>
      <c r="S52" s="380"/>
      <c r="T52" s="381"/>
      <c r="U52" s="437" t="str">
        <f>IF(TRIM(T52)="", "", IF(VLOOKUP(T52,'Footnotes list'!$D$9:$E$58,2,FALSE)=0,"",VLOOKUP(T52,'Footnotes list'!$D$9:$E$58,2,FALSE) ) )</f>
        <v/>
      </c>
      <c r="V52" s="394" t="str">
        <f>IF(AND(TRIM(V50)="",TRIM(V51)=""),"",V50+V51)</f>
        <v/>
      </c>
      <c r="W52" s="379"/>
      <c r="X52" s="380"/>
      <c r="Y52" s="381"/>
      <c r="Z52" s="437" t="str">
        <f>IF(TRIM(Y52)="", "", IF(VLOOKUP(Y52,'Footnotes list'!$D$9:$E$58,2,FALSE)=0,"",VLOOKUP(Y52,'Footnotes list'!$D$9:$E$58,2,FALSE) ) )</f>
        <v/>
      </c>
      <c r="AA52" s="394" t="str">
        <f>IF(AND(TRIM(AA50)="", TRIM(AA51)=""), "", SUM(AA50,AA51))</f>
        <v/>
      </c>
      <c r="AB52" s="379"/>
      <c r="AC52" s="380"/>
      <c r="AD52" s="381"/>
      <c r="AE52" s="437" t="str">
        <f>IF(TRIM(AD52)="", "", IF(VLOOKUP(AD52,'Footnotes list'!$D$9:$E$58,2,FALSE)=0,"",VLOOKUP(AD52,'Footnotes list'!$D$9:$E$58,2,FALSE) ) )</f>
        <v/>
      </c>
      <c r="AF52" s="394" t="str">
        <f>IF(AND(TRIM(AF50)="",TRIM(AF51)=""),"",AF50+AF51)</f>
        <v/>
      </c>
      <c r="AG52" s="379"/>
      <c r="AH52" s="380"/>
      <c r="AI52" s="381"/>
      <c r="AJ52" s="437" t="str">
        <f>IF(TRIM(AI52)="", "", IF(VLOOKUP(AI52,'Footnotes list'!$D$9:$E$58,2,FALSE)=0,"",VLOOKUP(AI52,'Footnotes list'!$D$9:$E$58,2,FALSE) ) )</f>
        <v/>
      </c>
      <c r="AK52" s="394" t="str">
        <f>IF(AND(TRIM(AK50)="",TRIM(AK51)=""),"",AK50+AK51)</f>
        <v/>
      </c>
      <c r="AL52" s="379"/>
      <c r="AM52" s="380"/>
      <c r="AN52" s="381"/>
      <c r="AO52" s="437" t="str">
        <f>IF(TRIM(AN52)="", "", IF(VLOOKUP(AN52,'Footnotes list'!$D$9:$E$58,2,FALSE)=0,"",VLOOKUP(AN52,'Footnotes list'!$D$9:$E$58,2,FALSE) ) )</f>
        <v/>
      </c>
      <c r="AP52" s="394" t="str">
        <f>IF(AND(TRIM(AP50)="", TRIM(AP51)=""), "", SUM(AP50,AP51))</f>
        <v/>
      </c>
      <c r="AQ52" s="379"/>
      <c r="AR52" s="380"/>
      <c r="AS52" s="381"/>
      <c r="AT52" s="437" t="str">
        <f>IF(TRIM(AS52)="", "", IF(VLOOKUP(AS52,'Footnotes list'!$D$9:$E$58,2,FALSE)=0,"",VLOOKUP(AS52,'Footnotes list'!$D$9:$E$58,2,FALSE) ) )</f>
        <v/>
      </c>
      <c r="AU52" s="394" t="str">
        <f>IF(AND(TRIM(AU50)="", TRIM(AU51)=""), "", SUM(AU50,AU51) )</f>
        <v/>
      </c>
      <c r="AV52" s="379"/>
      <c r="AW52" s="380"/>
      <c r="AX52" s="381"/>
      <c r="AY52" s="437" t="str">
        <f>IF(TRIM(AX52)="", "", IF(VLOOKUP(AX52,'Footnotes list'!$D$9:$E$58,2,FALSE)=0,"",VLOOKUP(AX52,'Footnotes list'!$D$9:$E$58,2,FALSE) ) )</f>
        <v/>
      </c>
    </row>
    <row r="53" spans="2:51" ht="15" customHeight="1" thickBot="1" x14ac:dyDescent="0.4">
      <c r="B53" s="540" t="s">
        <v>125</v>
      </c>
      <c r="C53" s="429"/>
      <c r="D53" s="543" t="s">
        <v>91</v>
      </c>
      <c r="E53" s="429"/>
      <c r="F53" s="420" t="s">
        <v>233</v>
      </c>
      <c r="G53" s="439"/>
      <c r="H53" s="446"/>
      <c r="I53" s="447"/>
      <c r="J53" s="448"/>
      <c r="K53" s="445"/>
      <c r="L53" s="439"/>
      <c r="M53" s="446"/>
      <c r="N53" s="447"/>
      <c r="O53" s="448"/>
      <c r="P53" s="445"/>
      <c r="Q53" s="439"/>
      <c r="R53" s="446"/>
      <c r="S53" s="447"/>
      <c r="T53" s="448"/>
      <c r="U53" s="445"/>
      <c r="V53" s="439"/>
      <c r="W53" s="446"/>
      <c r="X53" s="447"/>
      <c r="Y53" s="448"/>
      <c r="Z53" s="445"/>
      <c r="AA53" s="439"/>
      <c r="AB53" s="446"/>
      <c r="AC53" s="447"/>
      <c r="AD53" s="448"/>
      <c r="AE53" s="445"/>
      <c r="AF53" s="439"/>
      <c r="AG53" s="446"/>
      <c r="AH53" s="447"/>
      <c r="AI53" s="448"/>
      <c r="AJ53" s="445"/>
      <c r="AK53" s="439"/>
      <c r="AL53" s="446"/>
      <c r="AM53" s="447"/>
      <c r="AN53" s="448"/>
      <c r="AO53" s="445"/>
      <c r="AP53" s="439"/>
      <c r="AQ53" s="446"/>
      <c r="AR53" s="447"/>
      <c r="AS53" s="448"/>
      <c r="AT53" s="445"/>
      <c r="AU53" s="439"/>
      <c r="AV53" s="446"/>
      <c r="AW53" s="447"/>
      <c r="AX53" s="448"/>
      <c r="AY53" s="445"/>
    </row>
    <row r="54" spans="2:51" ht="15" customHeight="1" x14ac:dyDescent="0.35">
      <c r="B54" s="541"/>
      <c r="C54" s="424" t="s">
        <v>125</v>
      </c>
      <c r="D54" s="544"/>
      <c r="E54" s="425" t="s">
        <v>145</v>
      </c>
      <c r="F54" s="426" t="s">
        <v>152</v>
      </c>
      <c r="G54" s="378"/>
      <c r="H54" s="379"/>
      <c r="I54" s="380"/>
      <c r="J54" s="381"/>
      <c r="K54" s="437" t="str">
        <f>IF(TRIM(J54)="", "", IF(VLOOKUP(J54,'Footnotes list'!$D$9:$E$58,2,FALSE)=0,"",VLOOKUP(J54,'Footnotes list'!$D$9:$E$58,2,FALSE) ) )</f>
        <v/>
      </c>
      <c r="L54" s="378"/>
      <c r="M54" s="379"/>
      <c r="N54" s="380"/>
      <c r="O54" s="381"/>
      <c r="P54" s="437" t="str">
        <f>IF(TRIM(O54)="", "", IF(VLOOKUP(O54,'Footnotes list'!$D$9:$E$58,2,FALSE)=0,"",VLOOKUP(O54,'Footnotes list'!$D$9:$E$58,2,FALSE) ) )</f>
        <v/>
      </c>
      <c r="Q54" s="378"/>
      <c r="R54" s="379"/>
      <c r="S54" s="380"/>
      <c r="T54" s="381"/>
      <c r="U54" s="437" t="str">
        <f>IF(TRIM(T54)="", "", IF(VLOOKUP(T54,'Footnotes list'!$D$9:$E$58,2,FALSE)=0,"",VLOOKUP(T54,'Footnotes list'!$D$9:$E$58,2,FALSE) ) )</f>
        <v/>
      </c>
      <c r="V54" s="378"/>
      <c r="W54" s="379"/>
      <c r="X54" s="380"/>
      <c r="Y54" s="381"/>
      <c r="Z54" s="437" t="str">
        <f>IF(TRIM(Y54)="", "", IF(VLOOKUP(Y54,'Footnotes list'!$D$9:$E$58,2,FALSE)=0,"",VLOOKUP(Y54,'Footnotes list'!$D$9:$E$58,2,FALSE) ) )</f>
        <v/>
      </c>
      <c r="AA54" s="399" t="str">
        <f>IF(AND(TRIM(Q54)="",TRIM(V54)=""),"",Q54+V54)</f>
        <v/>
      </c>
      <c r="AB54" s="379"/>
      <c r="AC54" s="380"/>
      <c r="AD54" s="381"/>
      <c r="AE54" s="437" t="str">
        <f>IF(TRIM(AD54)="", "", IF(VLOOKUP(AD54,'Footnotes list'!$D$9:$E$58,2,FALSE)=0,"",VLOOKUP(AD54,'Footnotes list'!$D$9:$E$58,2,FALSE) ) )</f>
        <v/>
      </c>
      <c r="AF54" s="378"/>
      <c r="AG54" s="379"/>
      <c r="AH54" s="380"/>
      <c r="AI54" s="381"/>
      <c r="AJ54" s="437" t="str">
        <f>IF(TRIM(AI54)="", "", IF(VLOOKUP(AI54,'Footnotes list'!$D$9:$E$58,2,FALSE)=0,"",VLOOKUP(AI54,'Footnotes list'!$D$9:$E$58,2,FALSE) ) )</f>
        <v/>
      </c>
      <c r="AK54" s="378"/>
      <c r="AL54" s="379"/>
      <c r="AM54" s="380"/>
      <c r="AN54" s="381"/>
      <c r="AO54" s="437" t="str">
        <f>IF(TRIM(AN54)="", "", IF(VLOOKUP(AN54,'Footnotes list'!$D$9:$E$58,2,FALSE)=0,"",VLOOKUP(AN54,'Footnotes list'!$D$9:$E$58,2,FALSE) ) )</f>
        <v/>
      </c>
      <c r="AP54" s="399" t="str">
        <f>IF(AND(TRIM(AF54)="",TRIM(AK54)=""),"",AF54+AK54)</f>
        <v/>
      </c>
      <c r="AQ54" s="379"/>
      <c r="AR54" s="380"/>
      <c r="AS54" s="381"/>
      <c r="AT54" s="437" t="str">
        <f>IF(TRIM(AS54)="", "", IF(VLOOKUP(AS54,'Footnotes list'!$D$9:$E$58,2,FALSE)=0,"",VLOOKUP(AS54,'Footnotes list'!$D$9:$E$58,2,FALSE) ) )</f>
        <v/>
      </c>
      <c r="AU54" s="438" t="str">
        <f>IF(AND(TRIM(G54)="",TRIM(L54)="",TRIM(AA54)="",TRIM(AP54)=""),"",SUM(G54,L54,AA54,AP54))</f>
        <v/>
      </c>
      <c r="AV54" s="379"/>
      <c r="AW54" s="380"/>
      <c r="AX54" s="381"/>
      <c r="AY54" s="437" t="str">
        <f>IF(TRIM(AX54)="", "", IF(VLOOKUP(AX54,'Footnotes list'!$D$9:$E$58,2,FALSE)=0,"",VLOOKUP(AX54,'Footnotes list'!$D$9:$E$58,2,FALSE) ) )</f>
        <v/>
      </c>
    </row>
    <row r="55" spans="2:51" ht="15" customHeight="1" thickBot="1" x14ac:dyDescent="0.4">
      <c r="B55" s="542"/>
      <c r="C55" s="427" t="s">
        <v>125</v>
      </c>
      <c r="D55" s="545"/>
      <c r="E55" s="422" t="s">
        <v>146</v>
      </c>
      <c r="F55" s="428" t="s">
        <v>234</v>
      </c>
      <c r="G55" s="394" t="str">
        <f>IF(AND(TRIM(G53)="",TRIM(G54)=""),"",G53+G54)</f>
        <v/>
      </c>
      <c r="H55" s="379"/>
      <c r="I55" s="380"/>
      <c r="J55" s="381"/>
      <c r="K55" s="437" t="str">
        <f>IF(TRIM(J55)="", "", IF(VLOOKUP(J55,'Footnotes list'!$D$9:$E$58,2,FALSE)=0,"",VLOOKUP(J55,'Footnotes list'!$D$9:$E$58,2,FALSE) ) )</f>
        <v/>
      </c>
      <c r="L55" s="394" t="str">
        <f>IF(AND(TRIM(L53)="",TRIM(L54)=""),"",L53+L54)</f>
        <v/>
      </c>
      <c r="M55" s="379"/>
      <c r="N55" s="380"/>
      <c r="O55" s="381"/>
      <c r="P55" s="437" t="str">
        <f>IF(TRIM(O55)="", "", IF(VLOOKUP(O55,'Footnotes list'!$D$9:$E$58,2,FALSE)=0,"",VLOOKUP(O55,'Footnotes list'!$D$9:$E$58,2,FALSE) ) )</f>
        <v/>
      </c>
      <c r="Q55" s="394" t="str">
        <f>IF(AND(TRIM(Q53)="",TRIM(Q54)=""),"",Q53+Q54)</f>
        <v/>
      </c>
      <c r="R55" s="379"/>
      <c r="S55" s="380"/>
      <c r="T55" s="381"/>
      <c r="U55" s="437" t="str">
        <f>IF(TRIM(T55)="", "", IF(VLOOKUP(T55,'Footnotes list'!$D$9:$E$58,2,FALSE)=0,"",VLOOKUP(T55,'Footnotes list'!$D$9:$E$58,2,FALSE) ) )</f>
        <v/>
      </c>
      <c r="V55" s="394" t="str">
        <f>IF(AND(TRIM(V53)="",TRIM(V54)=""),"",V53+V54)</f>
        <v/>
      </c>
      <c r="W55" s="379"/>
      <c r="X55" s="380"/>
      <c r="Y55" s="381"/>
      <c r="Z55" s="437" t="str">
        <f>IF(TRIM(Y55)="", "", IF(VLOOKUP(Y55,'Footnotes list'!$D$9:$E$58,2,FALSE)=0,"",VLOOKUP(Y55,'Footnotes list'!$D$9:$E$58,2,FALSE) ) )</f>
        <v/>
      </c>
      <c r="AA55" s="394" t="str">
        <f>IF(AND(TRIM(AA53)="", TRIM(AA54)=""), "", SUM(AA53,AA54))</f>
        <v/>
      </c>
      <c r="AB55" s="379"/>
      <c r="AC55" s="380"/>
      <c r="AD55" s="381"/>
      <c r="AE55" s="437" t="str">
        <f>IF(TRIM(AD55)="", "", IF(VLOOKUP(AD55,'Footnotes list'!$D$9:$E$58,2,FALSE)=0,"",VLOOKUP(AD55,'Footnotes list'!$D$9:$E$58,2,FALSE) ) )</f>
        <v/>
      </c>
      <c r="AF55" s="394" t="str">
        <f>IF(AND(TRIM(AF53)="",TRIM(AF54)=""),"",AF53+AF54)</f>
        <v/>
      </c>
      <c r="AG55" s="379"/>
      <c r="AH55" s="380"/>
      <c r="AI55" s="381"/>
      <c r="AJ55" s="437" t="str">
        <f>IF(TRIM(AI55)="", "", IF(VLOOKUP(AI55,'Footnotes list'!$D$9:$E$58,2,FALSE)=0,"",VLOOKUP(AI55,'Footnotes list'!$D$9:$E$58,2,FALSE) ) )</f>
        <v/>
      </c>
      <c r="AK55" s="394" t="str">
        <f>IF(AND(TRIM(AK53)="",TRIM(AK54)=""),"",AK53+AK54)</f>
        <v/>
      </c>
      <c r="AL55" s="379"/>
      <c r="AM55" s="380"/>
      <c r="AN55" s="381"/>
      <c r="AO55" s="437" t="str">
        <f>IF(TRIM(AN55)="", "", IF(VLOOKUP(AN55,'Footnotes list'!$D$9:$E$58,2,FALSE)=0,"",VLOOKUP(AN55,'Footnotes list'!$D$9:$E$58,2,FALSE) ) )</f>
        <v/>
      </c>
      <c r="AP55" s="394" t="str">
        <f>IF(AND(TRIM(AP53)="", TRIM(AP54)=""), "", SUM(AP53,AP54))</f>
        <v/>
      </c>
      <c r="AQ55" s="379"/>
      <c r="AR55" s="380"/>
      <c r="AS55" s="381"/>
      <c r="AT55" s="437" t="str">
        <f>IF(TRIM(AS55)="", "", IF(VLOOKUP(AS55,'Footnotes list'!$D$9:$E$58,2,FALSE)=0,"",VLOOKUP(AS55,'Footnotes list'!$D$9:$E$58,2,FALSE) ) )</f>
        <v/>
      </c>
      <c r="AU55" s="394" t="str">
        <f>IF(AND(TRIM(AU53)="", TRIM(AU54)=""), "", SUM(AU53,AU54) )</f>
        <v/>
      </c>
      <c r="AV55" s="379"/>
      <c r="AW55" s="380"/>
      <c r="AX55" s="381"/>
      <c r="AY55" s="437" t="str">
        <f>IF(TRIM(AX55)="", "", IF(VLOOKUP(AX55,'Footnotes list'!$D$9:$E$58,2,FALSE)=0,"",VLOOKUP(AX55,'Footnotes list'!$D$9:$E$58,2,FALSE) ) )</f>
        <v/>
      </c>
    </row>
    <row r="56" spans="2:51" ht="15" customHeight="1" x14ac:dyDescent="0.35">
      <c r="B56" s="540" t="s">
        <v>126</v>
      </c>
      <c r="C56" s="416" t="s">
        <v>126</v>
      </c>
      <c r="D56" s="543" t="s">
        <v>92</v>
      </c>
      <c r="E56" s="417" t="s">
        <v>144</v>
      </c>
      <c r="F56" s="418" t="s">
        <v>151</v>
      </c>
      <c r="G56" s="372"/>
      <c r="H56" s="373"/>
      <c r="I56" s="374"/>
      <c r="J56" s="375"/>
      <c r="K56" s="433" t="str">
        <f>IF(TRIM(J56)="", "", IF(VLOOKUP(J56,'Footnotes list'!$D$9:$E$58,2,FALSE)=0,"",VLOOKUP(J56,'Footnotes list'!$D$9:$E$58,2,FALSE) ) )</f>
        <v/>
      </c>
      <c r="L56" s="372"/>
      <c r="M56" s="373"/>
      <c r="N56" s="374"/>
      <c r="O56" s="375"/>
      <c r="P56" s="433" t="str">
        <f>IF(TRIM(O56)="", "", IF(VLOOKUP(O56,'Footnotes list'!$D$9:$E$58,2,FALSE)=0,"",VLOOKUP(O56,'Footnotes list'!$D$9:$E$58,2,FALSE) ) )</f>
        <v/>
      </c>
      <c r="Q56" s="372"/>
      <c r="R56" s="373"/>
      <c r="S56" s="374"/>
      <c r="T56" s="375"/>
      <c r="U56" s="433" t="str">
        <f>IF(TRIM(T56)="", "", IF(VLOOKUP(T56,'Footnotes list'!$D$9:$E$58,2,FALSE)=0,"",VLOOKUP(T56,'Footnotes list'!$D$9:$E$58,2,FALSE) ) )</f>
        <v/>
      </c>
      <c r="V56" s="372"/>
      <c r="W56" s="373"/>
      <c r="X56" s="374"/>
      <c r="Y56" s="375"/>
      <c r="Z56" s="433" t="str">
        <f>IF(TRIM(Y56)="", "", IF(VLOOKUP(Y56,'Footnotes list'!$D$9:$E$58,2,FALSE)=0,"",VLOOKUP(Y56,'Footnotes list'!$D$9:$E$58,2,FALSE) ) )</f>
        <v/>
      </c>
      <c r="AA56" s="401" t="str">
        <f>IF(AND(TRIM(Q56)="",TRIM(V56)=""),"",Q56+V56)</f>
        <v/>
      </c>
      <c r="AB56" s="373"/>
      <c r="AC56" s="374"/>
      <c r="AD56" s="375"/>
      <c r="AE56" s="433" t="str">
        <f>IF(TRIM(AD56)="", "", IF(VLOOKUP(AD56,'Footnotes list'!$D$9:$E$58,2,FALSE)=0,"",VLOOKUP(AD56,'Footnotes list'!$D$9:$E$58,2,FALSE) ) )</f>
        <v/>
      </c>
      <c r="AF56" s="372"/>
      <c r="AG56" s="373"/>
      <c r="AH56" s="374"/>
      <c r="AI56" s="375"/>
      <c r="AJ56" s="433" t="str">
        <f>IF(TRIM(AI56)="", "", IF(VLOOKUP(AI56,'Footnotes list'!$D$9:$E$58,2,FALSE)=0,"",VLOOKUP(AI56,'Footnotes list'!$D$9:$E$58,2,FALSE) ) )</f>
        <v/>
      </c>
      <c r="AK56" s="372"/>
      <c r="AL56" s="373"/>
      <c r="AM56" s="374"/>
      <c r="AN56" s="375"/>
      <c r="AO56" s="433" t="str">
        <f>IF(TRIM(AN56)="", "", IF(VLOOKUP(AN56,'Footnotes list'!$D$9:$E$58,2,FALSE)=0,"",VLOOKUP(AN56,'Footnotes list'!$D$9:$E$58,2,FALSE) ) )</f>
        <v/>
      </c>
      <c r="AP56" s="401" t="str">
        <f>IF(AND(TRIM(AF56)="",TRIM(AK56)=""),"",AF56+AK56)</f>
        <v/>
      </c>
      <c r="AQ56" s="373"/>
      <c r="AR56" s="374"/>
      <c r="AS56" s="375"/>
      <c r="AT56" s="433" t="str">
        <f>IF(TRIM(AS56)="", "", IF(VLOOKUP(AS56,'Footnotes list'!$D$9:$E$58,2,FALSE)=0,"",VLOOKUP(AS56,'Footnotes list'!$D$9:$E$58,2,FALSE) ) )</f>
        <v/>
      </c>
      <c r="AU56" s="400" t="str">
        <f>IF(AND(TRIM(G56)="",TRIM(L56)="",TRIM(AA56)="",TRIM(AP56)=""),"",SUM(G56,L56,AA56,AP56))</f>
        <v/>
      </c>
      <c r="AV56" s="373"/>
      <c r="AW56" s="374"/>
      <c r="AX56" s="375"/>
      <c r="AY56" s="433" t="str">
        <f>IF(TRIM(AX56)="", "", IF(VLOOKUP(AX56,'Footnotes list'!$D$9:$E$58,2,FALSE)=0,"",VLOOKUP(AX56,'Footnotes list'!$D$9:$E$58,2,FALSE) ) )</f>
        <v/>
      </c>
    </row>
    <row r="57" spans="2:51" ht="15" customHeight="1" thickBot="1" x14ac:dyDescent="0.4">
      <c r="B57" s="541"/>
      <c r="C57" s="419"/>
      <c r="D57" s="544"/>
      <c r="E57" s="419"/>
      <c r="F57" s="420" t="s">
        <v>233</v>
      </c>
      <c r="G57" s="434"/>
      <c r="H57" s="435"/>
      <c r="I57" s="435"/>
      <c r="J57" s="435"/>
      <c r="K57" s="436"/>
      <c r="L57" s="434"/>
      <c r="M57" s="435"/>
      <c r="N57" s="435"/>
      <c r="O57" s="435"/>
      <c r="P57" s="436"/>
      <c r="Q57" s="434"/>
      <c r="R57" s="435"/>
      <c r="S57" s="435"/>
      <c r="T57" s="435"/>
      <c r="U57" s="436"/>
      <c r="V57" s="434"/>
      <c r="W57" s="435"/>
      <c r="X57" s="435"/>
      <c r="Y57" s="435"/>
      <c r="Z57" s="436"/>
      <c r="AA57" s="434"/>
      <c r="AB57" s="435"/>
      <c r="AC57" s="435"/>
      <c r="AD57" s="435"/>
      <c r="AE57" s="436"/>
      <c r="AF57" s="434"/>
      <c r="AG57" s="435"/>
      <c r="AH57" s="435"/>
      <c r="AI57" s="435"/>
      <c r="AJ57" s="436"/>
      <c r="AK57" s="434"/>
      <c r="AL57" s="435"/>
      <c r="AM57" s="435"/>
      <c r="AN57" s="435"/>
      <c r="AO57" s="436"/>
      <c r="AP57" s="434"/>
      <c r="AQ57" s="435"/>
      <c r="AR57" s="435"/>
      <c r="AS57" s="435"/>
      <c r="AT57" s="436"/>
      <c r="AU57" s="434"/>
      <c r="AV57" s="435"/>
      <c r="AW57" s="435"/>
      <c r="AX57" s="435"/>
      <c r="AY57" s="436"/>
    </row>
    <row r="58" spans="2:51" ht="15" customHeight="1" thickBot="1" x14ac:dyDescent="0.4">
      <c r="B58" s="542"/>
      <c r="C58" s="427" t="s">
        <v>126</v>
      </c>
      <c r="D58" s="545"/>
      <c r="E58" s="422" t="s">
        <v>146</v>
      </c>
      <c r="F58" s="428" t="s">
        <v>234</v>
      </c>
      <c r="G58" s="394" t="str">
        <f>IF(AND(TRIM(G56)="",TRIM(G57)=""),"",G56+G57)</f>
        <v/>
      </c>
      <c r="H58" s="373"/>
      <c r="I58" s="374"/>
      <c r="J58" s="375"/>
      <c r="K58" s="433" t="str">
        <f>IF(TRIM(J58)="", "", IF(VLOOKUP(J58,'Footnotes list'!$D$9:$E$58,2,FALSE)=0,"",VLOOKUP(J58,'Footnotes list'!$D$9:$E$58,2,FALSE) ) )</f>
        <v/>
      </c>
      <c r="L58" s="394" t="str">
        <f>IF(AND(TRIM(L56)="",TRIM(L57)=""),"",L56+L57)</f>
        <v/>
      </c>
      <c r="M58" s="373"/>
      <c r="N58" s="374"/>
      <c r="O58" s="375"/>
      <c r="P58" s="433" t="str">
        <f>IF(TRIM(O58)="", "", IF(VLOOKUP(O58,'Footnotes list'!$D$9:$E$58,2,FALSE)=0,"",VLOOKUP(O58,'Footnotes list'!$D$9:$E$58,2,FALSE) ) )</f>
        <v/>
      </c>
      <c r="Q58" s="394" t="str">
        <f>IF(AND(TRIM(Q56)="",TRIM(Q57)=""),"",Q56+Q57)</f>
        <v/>
      </c>
      <c r="R58" s="373"/>
      <c r="S58" s="374"/>
      <c r="T58" s="375"/>
      <c r="U58" s="433" t="str">
        <f>IF(TRIM(T58)="", "", IF(VLOOKUP(T58,'Footnotes list'!$D$9:$E$58,2,FALSE)=0,"",VLOOKUP(T58,'Footnotes list'!$D$9:$E$58,2,FALSE) ) )</f>
        <v/>
      </c>
      <c r="V58" s="394" t="str">
        <f>IF(AND(TRIM(V56)="",TRIM(V57)=""),"",V56+V57)</f>
        <v/>
      </c>
      <c r="W58" s="373"/>
      <c r="X58" s="374"/>
      <c r="Y58" s="375"/>
      <c r="Z58" s="433" t="str">
        <f>IF(TRIM(Y58)="", "", IF(VLOOKUP(Y58,'Footnotes list'!$D$9:$E$58,2,FALSE)=0,"",VLOOKUP(Y58,'Footnotes list'!$D$9:$E$58,2,FALSE) ) )</f>
        <v/>
      </c>
      <c r="AA58" s="397" t="str">
        <f>IF(AND(TRIM(AA56)="", TRIM(AA57)=""), "", SUM(AA56,AA57))</f>
        <v/>
      </c>
      <c r="AB58" s="373"/>
      <c r="AC58" s="374"/>
      <c r="AD58" s="375"/>
      <c r="AE58" s="433" t="str">
        <f>IF(TRIM(AD58)="", "", IF(VLOOKUP(AD58,'Footnotes list'!$D$9:$E$58,2,FALSE)=0,"",VLOOKUP(AD58,'Footnotes list'!$D$9:$E$58,2,FALSE) ) )</f>
        <v/>
      </c>
      <c r="AF58" s="394" t="str">
        <f>IF(AND(TRIM(AF56)="",TRIM(AF57)=""),"",AF56+AF57)</f>
        <v/>
      </c>
      <c r="AG58" s="373"/>
      <c r="AH58" s="374"/>
      <c r="AI58" s="375"/>
      <c r="AJ58" s="433" t="str">
        <f>IF(TRIM(AI58)="", "", IF(VLOOKUP(AI58,'Footnotes list'!$D$9:$E$58,2,FALSE)=0,"",VLOOKUP(AI58,'Footnotes list'!$D$9:$E$58,2,FALSE) ) )</f>
        <v/>
      </c>
      <c r="AK58" s="394" t="str">
        <f>IF(AND(TRIM(AK56)="",TRIM(AK57)=""),"",AK56+AK57)</f>
        <v/>
      </c>
      <c r="AL58" s="373"/>
      <c r="AM58" s="374"/>
      <c r="AN58" s="375"/>
      <c r="AO58" s="433" t="str">
        <f>IF(TRIM(AN58)="", "", IF(VLOOKUP(AN58,'Footnotes list'!$D$9:$E$58,2,FALSE)=0,"",VLOOKUP(AN58,'Footnotes list'!$D$9:$E$58,2,FALSE) ) )</f>
        <v/>
      </c>
      <c r="AP58" s="397" t="str">
        <f>IF(AND(TRIM(AP56)="", TRIM(AP57)=""), "", SUM(AP56,AP57))</f>
        <v/>
      </c>
      <c r="AQ58" s="373"/>
      <c r="AR58" s="374"/>
      <c r="AS58" s="375"/>
      <c r="AT58" s="433" t="str">
        <f>IF(TRIM(AS58)="", "", IF(VLOOKUP(AS58,'Footnotes list'!$D$9:$E$58,2,FALSE)=0,"",VLOOKUP(AS58,'Footnotes list'!$D$9:$E$58,2,FALSE) ) )</f>
        <v/>
      </c>
      <c r="AU58" s="394" t="str">
        <f>IF(AND(TRIM(AU56)="", TRIM(AU57)=""), "", SUM(AU56,AU57) )</f>
        <v/>
      </c>
      <c r="AV58" s="373"/>
      <c r="AW58" s="374"/>
      <c r="AX58" s="375"/>
      <c r="AY58" s="433" t="str">
        <f>IF(TRIM(AX58)="", "", IF(VLOOKUP(AX58,'Footnotes list'!$D$9:$E$58,2,FALSE)=0,"",VLOOKUP(AX58,'Footnotes list'!$D$9:$E$58,2,FALSE) ) )</f>
        <v/>
      </c>
    </row>
    <row r="59" spans="2:51" ht="15" customHeight="1" x14ac:dyDescent="0.35">
      <c r="B59" s="540" t="s">
        <v>127</v>
      </c>
      <c r="C59" s="416" t="s">
        <v>127</v>
      </c>
      <c r="D59" s="543" t="s">
        <v>159</v>
      </c>
      <c r="E59" s="417" t="s">
        <v>144</v>
      </c>
      <c r="F59" s="418" t="s">
        <v>151</v>
      </c>
      <c r="G59" s="372"/>
      <c r="H59" s="373"/>
      <c r="I59" s="374"/>
      <c r="J59" s="375"/>
      <c r="K59" s="433" t="str">
        <f>IF(TRIM(J59)="", "", IF(VLOOKUP(J59,'Footnotes list'!$D$9:$E$58,2,FALSE)=0,"",VLOOKUP(J59,'Footnotes list'!$D$9:$E$58,2,FALSE) ) )</f>
        <v/>
      </c>
      <c r="L59" s="372"/>
      <c r="M59" s="373"/>
      <c r="N59" s="374"/>
      <c r="O59" s="375"/>
      <c r="P59" s="433" t="str">
        <f>IF(TRIM(O59)="", "", IF(VLOOKUP(O59,'Footnotes list'!$D$9:$E$58,2,FALSE)=0,"",VLOOKUP(O59,'Footnotes list'!$D$9:$E$58,2,FALSE) ) )</f>
        <v/>
      </c>
      <c r="Q59" s="372"/>
      <c r="R59" s="373"/>
      <c r="S59" s="374"/>
      <c r="T59" s="375"/>
      <c r="U59" s="433" t="str">
        <f>IF(TRIM(T59)="", "", IF(VLOOKUP(T59,'Footnotes list'!$D$9:$E$58,2,FALSE)=0,"",VLOOKUP(T59,'Footnotes list'!$D$9:$E$58,2,FALSE) ) )</f>
        <v/>
      </c>
      <c r="V59" s="372"/>
      <c r="W59" s="373"/>
      <c r="X59" s="374"/>
      <c r="Y59" s="375"/>
      <c r="Z59" s="433" t="str">
        <f>IF(TRIM(Y59)="", "", IF(VLOOKUP(Y59,'Footnotes list'!$D$9:$E$58,2,FALSE)=0,"",VLOOKUP(Y59,'Footnotes list'!$D$9:$E$58,2,FALSE) ) )</f>
        <v/>
      </c>
      <c r="AA59" s="400" t="str">
        <f>IF(AND(TRIM(Q59)="",TRIM(V59)=""),"",Q59+V59)</f>
        <v/>
      </c>
      <c r="AB59" s="373"/>
      <c r="AC59" s="374"/>
      <c r="AD59" s="375"/>
      <c r="AE59" s="433" t="str">
        <f>IF(TRIM(AD59)="", "", IF(VLOOKUP(AD59,'Footnotes list'!$D$9:$E$58,2,FALSE)=0,"",VLOOKUP(AD59,'Footnotes list'!$D$9:$E$58,2,FALSE) ) )</f>
        <v/>
      </c>
      <c r="AF59" s="372"/>
      <c r="AG59" s="373"/>
      <c r="AH59" s="374"/>
      <c r="AI59" s="375"/>
      <c r="AJ59" s="433" t="str">
        <f>IF(TRIM(AI59)="", "", IF(VLOOKUP(AI59,'Footnotes list'!$D$9:$E$58,2,FALSE)=0,"",VLOOKUP(AI59,'Footnotes list'!$D$9:$E$58,2,FALSE) ) )</f>
        <v/>
      </c>
      <c r="AK59" s="372"/>
      <c r="AL59" s="373"/>
      <c r="AM59" s="374"/>
      <c r="AN59" s="375"/>
      <c r="AO59" s="433" t="str">
        <f>IF(TRIM(AN59)="", "", IF(VLOOKUP(AN59,'Footnotes list'!$D$9:$E$58,2,FALSE)=0,"",VLOOKUP(AN59,'Footnotes list'!$D$9:$E$58,2,FALSE) ) )</f>
        <v/>
      </c>
      <c r="AP59" s="400" t="str">
        <f>IF(AND(TRIM(AF59)="",TRIM(AK59)=""),"",AF59+AK59)</f>
        <v/>
      </c>
      <c r="AQ59" s="373"/>
      <c r="AR59" s="374"/>
      <c r="AS59" s="375"/>
      <c r="AT59" s="433" t="str">
        <f>IF(TRIM(AS59)="", "", IF(VLOOKUP(AS59,'Footnotes list'!$D$9:$E$58,2,FALSE)=0,"",VLOOKUP(AS59,'Footnotes list'!$D$9:$E$58,2,FALSE) ) )</f>
        <v/>
      </c>
      <c r="AU59" s="400" t="str">
        <f>IF(AND(TRIM(G59)="",TRIM(L59)="",TRIM(AA59)="",TRIM(AP59)=""),"",SUM(G59,L59,AA59,AP59))</f>
        <v/>
      </c>
      <c r="AV59" s="373"/>
      <c r="AW59" s="374"/>
      <c r="AX59" s="375"/>
      <c r="AY59" s="433" t="str">
        <f>IF(TRIM(AX59)="", "", IF(VLOOKUP(AX59,'Footnotes list'!$D$9:$E$58,2,FALSE)=0,"",VLOOKUP(AX59,'Footnotes list'!$D$9:$E$58,2,FALSE) ) )</f>
        <v/>
      </c>
    </row>
    <row r="60" spans="2:51" ht="15" customHeight="1" x14ac:dyDescent="0.35">
      <c r="B60" s="541"/>
      <c r="C60" s="424" t="s">
        <v>127</v>
      </c>
      <c r="D60" s="544"/>
      <c r="E60" s="425" t="s">
        <v>145</v>
      </c>
      <c r="F60" s="426" t="s">
        <v>152</v>
      </c>
      <c r="G60" s="378"/>
      <c r="H60" s="379"/>
      <c r="I60" s="380"/>
      <c r="J60" s="381"/>
      <c r="K60" s="437" t="str">
        <f>IF(TRIM(J60)="", "", IF(VLOOKUP(J60,'Footnotes list'!$D$9:$E$58,2,FALSE)=0,"",VLOOKUP(J60,'Footnotes list'!$D$9:$E$58,2,FALSE) ) )</f>
        <v/>
      </c>
      <c r="L60" s="378"/>
      <c r="M60" s="379"/>
      <c r="N60" s="380"/>
      <c r="O60" s="381"/>
      <c r="P60" s="437" t="str">
        <f>IF(TRIM(O60)="", "", IF(VLOOKUP(O60,'Footnotes list'!$D$9:$E$58,2,FALSE)=0,"",VLOOKUP(O60,'Footnotes list'!$D$9:$E$58,2,FALSE) ) )</f>
        <v/>
      </c>
      <c r="Q60" s="378"/>
      <c r="R60" s="379"/>
      <c r="S60" s="380"/>
      <c r="T60" s="381"/>
      <c r="U60" s="437" t="str">
        <f>IF(TRIM(T60)="", "", IF(VLOOKUP(T60,'Footnotes list'!$D$9:$E$58,2,FALSE)=0,"",VLOOKUP(T60,'Footnotes list'!$D$9:$E$58,2,FALSE) ) )</f>
        <v/>
      </c>
      <c r="V60" s="378"/>
      <c r="W60" s="379"/>
      <c r="X60" s="380"/>
      <c r="Y60" s="381"/>
      <c r="Z60" s="437" t="str">
        <f>IF(TRIM(Y60)="", "", IF(VLOOKUP(Y60,'Footnotes list'!$D$9:$E$58,2,FALSE)=0,"",VLOOKUP(Y60,'Footnotes list'!$D$9:$E$58,2,FALSE) ) )</f>
        <v/>
      </c>
      <c r="AA60" s="399" t="str">
        <f>IF(AND(TRIM(Q60)="",TRIM(V60)=""),"",Q60+V60)</f>
        <v/>
      </c>
      <c r="AB60" s="379"/>
      <c r="AC60" s="380"/>
      <c r="AD60" s="381"/>
      <c r="AE60" s="437" t="str">
        <f>IF(TRIM(AD60)="", "", IF(VLOOKUP(AD60,'Footnotes list'!$D$9:$E$58,2,FALSE)=0,"",VLOOKUP(AD60,'Footnotes list'!$D$9:$E$58,2,FALSE) ) )</f>
        <v/>
      </c>
      <c r="AF60" s="378"/>
      <c r="AG60" s="379"/>
      <c r="AH60" s="380"/>
      <c r="AI60" s="381"/>
      <c r="AJ60" s="437" t="str">
        <f>IF(TRIM(AI60)="", "", IF(VLOOKUP(AI60,'Footnotes list'!$D$9:$E$58,2,FALSE)=0,"",VLOOKUP(AI60,'Footnotes list'!$D$9:$E$58,2,FALSE) ) )</f>
        <v/>
      </c>
      <c r="AK60" s="378"/>
      <c r="AL60" s="379"/>
      <c r="AM60" s="380"/>
      <c r="AN60" s="381"/>
      <c r="AO60" s="437" t="str">
        <f>IF(TRIM(AN60)="", "", IF(VLOOKUP(AN60,'Footnotes list'!$D$9:$E$58,2,FALSE)=0,"",VLOOKUP(AN60,'Footnotes list'!$D$9:$E$58,2,FALSE) ) )</f>
        <v/>
      </c>
      <c r="AP60" s="399" t="str">
        <f>IF(AND(TRIM(AF60)="",TRIM(AK60)=""),"",AF60+AK60)</f>
        <v/>
      </c>
      <c r="AQ60" s="379"/>
      <c r="AR60" s="380"/>
      <c r="AS60" s="381"/>
      <c r="AT60" s="437" t="str">
        <f>IF(TRIM(AS60)="", "", IF(VLOOKUP(AS60,'Footnotes list'!$D$9:$E$58,2,FALSE)=0,"",VLOOKUP(AS60,'Footnotes list'!$D$9:$E$58,2,FALSE) ) )</f>
        <v/>
      </c>
      <c r="AU60" s="438" t="str">
        <f>IF(AND(TRIM(G60)="",TRIM(L60)="",TRIM(AA60)="",TRIM(AP60)=""),"",SUM(G60,L60,AA60,AP60))</f>
        <v/>
      </c>
      <c r="AV60" s="379"/>
      <c r="AW60" s="380"/>
      <c r="AX60" s="381"/>
      <c r="AY60" s="437" t="str">
        <f>IF(TRIM(AX60)="", "", IF(VLOOKUP(AX60,'Footnotes list'!$D$9:$E$58,2,FALSE)=0,"",VLOOKUP(AX60,'Footnotes list'!$D$9:$E$58,2,FALSE) ) )</f>
        <v/>
      </c>
    </row>
    <row r="61" spans="2:51" ht="15" customHeight="1" thickBot="1" x14ac:dyDescent="0.4">
      <c r="B61" s="542"/>
      <c r="C61" s="427" t="s">
        <v>127</v>
      </c>
      <c r="D61" s="545"/>
      <c r="E61" s="422" t="s">
        <v>146</v>
      </c>
      <c r="F61" s="428" t="s">
        <v>234</v>
      </c>
      <c r="G61" s="394" t="str">
        <f>IF(AND(TRIM(G59)="",TRIM(G60)=""),"",G59+G60)</f>
        <v/>
      </c>
      <c r="H61" s="379"/>
      <c r="I61" s="380"/>
      <c r="J61" s="381"/>
      <c r="K61" s="437" t="str">
        <f>IF(TRIM(J61)="", "", IF(VLOOKUP(J61,'Footnotes list'!$D$9:$E$58,2,FALSE)=0,"",VLOOKUP(J61,'Footnotes list'!$D$9:$E$58,2,FALSE) ) )</f>
        <v/>
      </c>
      <c r="L61" s="394" t="str">
        <f>IF(AND(TRIM(L59)="",TRIM(L60)=""),"",L59+L60)</f>
        <v/>
      </c>
      <c r="M61" s="379"/>
      <c r="N61" s="380"/>
      <c r="O61" s="381"/>
      <c r="P61" s="437" t="str">
        <f>IF(TRIM(O61)="", "", IF(VLOOKUP(O61,'Footnotes list'!$D$9:$E$58,2,FALSE)=0,"",VLOOKUP(O61,'Footnotes list'!$D$9:$E$58,2,FALSE) ) )</f>
        <v/>
      </c>
      <c r="Q61" s="394" t="str">
        <f>IF(AND(TRIM(Q59)="",TRIM(Q60)=""),"",Q59+Q60)</f>
        <v/>
      </c>
      <c r="R61" s="379"/>
      <c r="S61" s="380"/>
      <c r="T61" s="381"/>
      <c r="U61" s="437" t="str">
        <f>IF(TRIM(T61)="", "", IF(VLOOKUP(T61,'Footnotes list'!$D$9:$E$58,2,FALSE)=0,"",VLOOKUP(T61,'Footnotes list'!$D$9:$E$58,2,FALSE) ) )</f>
        <v/>
      </c>
      <c r="V61" s="394" t="str">
        <f>IF(AND(TRIM(V59)="",TRIM(V60)=""),"",V59+V60)</f>
        <v/>
      </c>
      <c r="W61" s="379"/>
      <c r="X61" s="380"/>
      <c r="Y61" s="381"/>
      <c r="Z61" s="437" t="str">
        <f>IF(TRIM(Y61)="", "", IF(VLOOKUP(Y61,'Footnotes list'!$D$9:$E$58,2,FALSE)=0,"",VLOOKUP(Y61,'Footnotes list'!$D$9:$E$58,2,FALSE) ) )</f>
        <v/>
      </c>
      <c r="AA61" s="394" t="str">
        <f>IF(AND(TRIM(AA59)="", TRIM(AA60)=""), "", SUM(AA59,AA60))</f>
        <v/>
      </c>
      <c r="AB61" s="379"/>
      <c r="AC61" s="380"/>
      <c r="AD61" s="381"/>
      <c r="AE61" s="437" t="str">
        <f>IF(TRIM(AD61)="", "", IF(VLOOKUP(AD61,'Footnotes list'!$D$9:$E$58,2,FALSE)=0,"",VLOOKUP(AD61,'Footnotes list'!$D$9:$E$58,2,FALSE) ) )</f>
        <v/>
      </c>
      <c r="AF61" s="394" t="str">
        <f>IF(AND(TRIM(AF59)="",TRIM(AF60)=""),"",AF59+AF60)</f>
        <v/>
      </c>
      <c r="AG61" s="379"/>
      <c r="AH61" s="380"/>
      <c r="AI61" s="381"/>
      <c r="AJ61" s="437" t="str">
        <f>IF(TRIM(AI61)="", "", IF(VLOOKUP(AI61,'Footnotes list'!$D$9:$E$58,2,FALSE)=0,"",VLOOKUP(AI61,'Footnotes list'!$D$9:$E$58,2,FALSE) ) )</f>
        <v/>
      </c>
      <c r="AK61" s="394" t="str">
        <f>IF(AND(TRIM(AK59)="",TRIM(AK60)=""),"",AK59+AK60)</f>
        <v/>
      </c>
      <c r="AL61" s="379"/>
      <c r="AM61" s="380"/>
      <c r="AN61" s="381"/>
      <c r="AO61" s="437" t="str">
        <f>IF(TRIM(AN61)="", "", IF(VLOOKUP(AN61,'Footnotes list'!$D$9:$E$58,2,FALSE)=0,"",VLOOKUP(AN61,'Footnotes list'!$D$9:$E$58,2,FALSE) ) )</f>
        <v/>
      </c>
      <c r="AP61" s="394" t="str">
        <f>IF(AND(TRIM(AP59)="", TRIM(AP60)=""), "", SUM(AP59,AP60))</f>
        <v/>
      </c>
      <c r="AQ61" s="379"/>
      <c r="AR61" s="380"/>
      <c r="AS61" s="381"/>
      <c r="AT61" s="437" t="str">
        <f>IF(TRIM(AS61)="", "", IF(VLOOKUP(AS61,'Footnotes list'!$D$9:$E$58,2,FALSE)=0,"",VLOOKUP(AS61,'Footnotes list'!$D$9:$E$58,2,FALSE) ) )</f>
        <v/>
      </c>
      <c r="AU61" s="394" t="str">
        <f>IF(AND(TRIM(AU59)="", TRIM(AU60)=""), "", SUM(AU59,AU60) )</f>
        <v/>
      </c>
      <c r="AV61" s="379"/>
      <c r="AW61" s="380"/>
      <c r="AX61" s="381"/>
      <c r="AY61" s="437" t="str">
        <f>IF(TRIM(AX61)="", "", IF(VLOOKUP(AX61,'Footnotes list'!$D$9:$E$58,2,FALSE)=0,"",VLOOKUP(AX61,'Footnotes list'!$D$9:$E$58,2,FALSE) ) )</f>
        <v/>
      </c>
    </row>
    <row r="62" spans="2:51" ht="15" customHeight="1" x14ac:dyDescent="0.35">
      <c r="B62" s="540" t="s">
        <v>128</v>
      </c>
      <c r="C62" s="416" t="s">
        <v>128</v>
      </c>
      <c r="D62" s="543" t="s">
        <v>93</v>
      </c>
      <c r="E62" s="417" t="s">
        <v>144</v>
      </c>
      <c r="F62" s="418" t="s">
        <v>151</v>
      </c>
      <c r="G62" s="372"/>
      <c r="H62" s="373"/>
      <c r="I62" s="374"/>
      <c r="J62" s="375"/>
      <c r="K62" s="433" t="str">
        <f>IF(TRIM(J62)="", "", IF(VLOOKUP(J62,'Footnotes list'!$D$9:$E$58,2,FALSE)=0,"",VLOOKUP(J62,'Footnotes list'!$D$9:$E$58,2,FALSE) ) )</f>
        <v/>
      </c>
      <c r="L62" s="372"/>
      <c r="M62" s="373"/>
      <c r="N62" s="374"/>
      <c r="O62" s="375"/>
      <c r="P62" s="433" t="str">
        <f>IF(TRIM(O62)="", "", IF(VLOOKUP(O62,'Footnotes list'!$D$9:$E$58,2,FALSE)=0,"",VLOOKUP(O62,'Footnotes list'!$D$9:$E$58,2,FALSE) ) )</f>
        <v/>
      </c>
      <c r="Q62" s="372"/>
      <c r="R62" s="373"/>
      <c r="S62" s="374"/>
      <c r="T62" s="375"/>
      <c r="U62" s="433" t="str">
        <f>IF(TRIM(T62)="", "", IF(VLOOKUP(T62,'Footnotes list'!$D$9:$E$58,2,FALSE)=0,"",VLOOKUP(T62,'Footnotes list'!$D$9:$E$58,2,FALSE) ) )</f>
        <v/>
      </c>
      <c r="V62" s="372"/>
      <c r="W62" s="373"/>
      <c r="X62" s="374"/>
      <c r="Y62" s="375"/>
      <c r="Z62" s="433" t="str">
        <f>IF(TRIM(Y62)="", "", IF(VLOOKUP(Y62,'Footnotes list'!$D$9:$E$58,2,FALSE)=0,"",VLOOKUP(Y62,'Footnotes list'!$D$9:$E$58,2,FALSE) ) )</f>
        <v/>
      </c>
      <c r="AA62" s="400" t="str">
        <f>IF(AND(TRIM(Q62)="",TRIM(V62)=""),"",Q62+V62)</f>
        <v/>
      </c>
      <c r="AB62" s="373"/>
      <c r="AC62" s="374"/>
      <c r="AD62" s="375"/>
      <c r="AE62" s="433" t="str">
        <f>IF(TRIM(AD62)="", "", IF(VLOOKUP(AD62,'Footnotes list'!$D$9:$E$58,2,FALSE)=0,"",VLOOKUP(AD62,'Footnotes list'!$D$9:$E$58,2,FALSE) ) )</f>
        <v/>
      </c>
      <c r="AF62" s="372"/>
      <c r="AG62" s="373"/>
      <c r="AH62" s="374"/>
      <c r="AI62" s="375"/>
      <c r="AJ62" s="433" t="str">
        <f>IF(TRIM(AI62)="", "", IF(VLOOKUP(AI62,'Footnotes list'!$D$9:$E$58,2,FALSE)=0,"",VLOOKUP(AI62,'Footnotes list'!$D$9:$E$58,2,FALSE) ) )</f>
        <v/>
      </c>
      <c r="AK62" s="372"/>
      <c r="AL62" s="373"/>
      <c r="AM62" s="374"/>
      <c r="AN62" s="375"/>
      <c r="AO62" s="433" t="str">
        <f>IF(TRIM(AN62)="", "", IF(VLOOKUP(AN62,'Footnotes list'!$D$9:$E$58,2,FALSE)=0,"",VLOOKUP(AN62,'Footnotes list'!$D$9:$E$58,2,FALSE) ) )</f>
        <v/>
      </c>
      <c r="AP62" s="400" t="str">
        <f>IF(AND(TRIM(AF62)="",TRIM(AK62)=""),"",AF62+AK62)</f>
        <v/>
      </c>
      <c r="AQ62" s="373"/>
      <c r="AR62" s="374"/>
      <c r="AS62" s="375"/>
      <c r="AT62" s="433" t="str">
        <f>IF(TRIM(AS62)="", "", IF(VLOOKUP(AS62,'Footnotes list'!$D$9:$E$58,2,FALSE)=0,"",VLOOKUP(AS62,'Footnotes list'!$D$9:$E$58,2,FALSE) ) )</f>
        <v/>
      </c>
      <c r="AU62" s="400" t="str">
        <f>IF(AND(TRIM(G62)="",TRIM(L62)="",TRIM(AA62)="",TRIM(AP62)=""),"",SUM(G62,L62,AA62,AP62))</f>
        <v/>
      </c>
      <c r="AV62" s="373"/>
      <c r="AW62" s="374"/>
      <c r="AX62" s="375"/>
      <c r="AY62" s="433" t="str">
        <f>IF(TRIM(AX62)="", "", IF(VLOOKUP(AX62,'Footnotes list'!$D$9:$E$58,2,FALSE)=0,"",VLOOKUP(AX62,'Footnotes list'!$D$9:$E$58,2,FALSE) ) )</f>
        <v/>
      </c>
    </row>
    <row r="63" spans="2:51" ht="15" customHeight="1" x14ac:dyDescent="0.35">
      <c r="B63" s="541"/>
      <c r="C63" s="424" t="s">
        <v>128</v>
      </c>
      <c r="D63" s="544"/>
      <c r="E63" s="425" t="s">
        <v>145</v>
      </c>
      <c r="F63" s="426" t="s">
        <v>152</v>
      </c>
      <c r="G63" s="378"/>
      <c r="H63" s="379"/>
      <c r="I63" s="380"/>
      <c r="J63" s="381"/>
      <c r="K63" s="437" t="str">
        <f>IF(TRIM(J63)="", "", IF(VLOOKUP(J63,'Footnotes list'!$D$9:$E$58,2,FALSE)=0,"",VLOOKUP(J63,'Footnotes list'!$D$9:$E$58,2,FALSE) ) )</f>
        <v/>
      </c>
      <c r="L63" s="378"/>
      <c r="M63" s="379"/>
      <c r="N63" s="380"/>
      <c r="O63" s="381"/>
      <c r="P63" s="437" t="str">
        <f>IF(TRIM(O63)="", "", IF(VLOOKUP(O63,'Footnotes list'!$D$9:$E$58,2,FALSE)=0,"",VLOOKUP(O63,'Footnotes list'!$D$9:$E$58,2,FALSE) ) )</f>
        <v/>
      </c>
      <c r="Q63" s="378"/>
      <c r="R63" s="379"/>
      <c r="S63" s="380"/>
      <c r="T63" s="381"/>
      <c r="U63" s="437" t="str">
        <f>IF(TRIM(T63)="", "", IF(VLOOKUP(T63,'Footnotes list'!$D$9:$E$58,2,FALSE)=0,"",VLOOKUP(T63,'Footnotes list'!$D$9:$E$58,2,FALSE) ) )</f>
        <v/>
      </c>
      <c r="V63" s="378"/>
      <c r="W63" s="379"/>
      <c r="X63" s="380"/>
      <c r="Y63" s="381"/>
      <c r="Z63" s="437" t="str">
        <f>IF(TRIM(Y63)="", "", IF(VLOOKUP(Y63,'Footnotes list'!$D$9:$E$58,2,FALSE)=0,"",VLOOKUP(Y63,'Footnotes list'!$D$9:$E$58,2,FALSE) ) )</f>
        <v/>
      </c>
      <c r="AA63" s="399" t="str">
        <f>IF(AND(TRIM(Q63)="",TRIM(V63)=""),"",Q63+V63)</f>
        <v/>
      </c>
      <c r="AB63" s="379"/>
      <c r="AC63" s="380"/>
      <c r="AD63" s="381"/>
      <c r="AE63" s="437" t="str">
        <f>IF(TRIM(AD63)="", "", IF(VLOOKUP(AD63,'Footnotes list'!$D$9:$E$58,2,FALSE)=0,"",VLOOKUP(AD63,'Footnotes list'!$D$9:$E$58,2,FALSE) ) )</f>
        <v/>
      </c>
      <c r="AF63" s="378"/>
      <c r="AG63" s="379"/>
      <c r="AH63" s="380"/>
      <c r="AI63" s="381"/>
      <c r="AJ63" s="437" t="str">
        <f>IF(TRIM(AI63)="", "", IF(VLOOKUP(AI63,'Footnotes list'!$D$9:$E$58,2,FALSE)=0,"",VLOOKUP(AI63,'Footnotes list'!$D$9:$E$58,2,FALSE) ) )</f>
        <v/>
      </c>
      <c r="AK63" s="378"/>
      <c r="AL63" s="379"/>
      <c r="AM63" s="380"/>
      <c r="AN63" s="381"/>
      <c r="AO63" s="437" t="str">
        <f>IF(TRIM(AN63)="", "", IF(VLOOKUP(AN63,'Footnotes list'!$D$9:$E$58,2,FALSE)=0,"",VLOOKUP(AN63,'Footnotes list'!$D$9:$E$58,2,FALSE) ) )</f>
        <v/>
      </c>
      <c r="AP63" s="399" t="str">
        <f>IF(AND(TRIM(AF63)="",TRIM(AK63)=""),"",AF63+AK63)</f>
        <v/>
      </c>
      <c r="AQ63" s="379"/>
      <c r="AR63" s="380"/>
      <c r="AS63" s="381"/>
      <c r="AT63" s="437" t="str">
        <f>IF(TRIM(AS63)="", "", IF(VLOOKUP(AS63,'Footnotes list'!$D$9:$E$58,2,FALSE)=0,"",VLOOKUP(AS63,'Footnotes list'!$D$9:$E$58,2,FALSE) ) )</f>
        <v/>
      </c>
      <c r="AU63" s="438" t="str">
        <f>IF(AND(TRIM(G63)="",TRIM(L63)="",TRIM(AA63)="",TRIM(AP63)=""),"",SUM(G63,L63,AA63,AP63))</f>
        <v/>
      </c>
      <c r="AV63" s="379"/>
      <c r="AW63" s="380"/>
      <c r="AX63" s="381"/>
      <c r="AY63" s="437" t="str">
        <f>IF(TRIM(AX63)="", "", IF(VLOOKUP(AX63,'Footnotes list'!$D$9:$E$58,2,FALSE)=0,"",VLOOKUP(AX63,'Footnotes list'!$D$9:$E$58,2,FALSE) ) )</f>
        <v/>
      </c>
    </row>
    <row r="64" spans="2:51" ht="15" customHeight="1" thickBot="1" x14ac:dyDescent="0.4">
      <c r="B64" s="542"/>
      <c r="C64" s="427" t="s">
        <v>128</v>
      </c>
      <c r="D64" s="545"/>
      <c r="E64" s="422" t="s">
        <v>146</v>
      </c>
      <c r="F64" s="428" t="s">
        <v>234</v>
      </c>
      <c r="G64" s="394" t="str">
        <f>IF(AND(TRIM(G62)="",TRIM(G63)=""),"",G62+G63)</f>
        <v/>
      </c>
      <c r="H64" s="379"/>
      <c r="I64" s="380"/>
      <c r="J64" s="381"/>
      <c r="K64" s="437" t="str">
        <f>IF(TRIM(J64)="", "", IF(VLOOKUP(J64,'Footnotes list'!$D$9:$E$58,2,FALSE)=0,"",VLOOKUP(J64,'Footnotes list'!$D$9:$E$58,2,FALSE) ) )</f>
        <v/>
      </c>
      <c r="L64" s="394" t="str">
        <f>IF(AND(TRIM(L62)="",TRIM(L63)=""),"",L62+L63)</f>
        <v/>
      </c>
      <c r="M64" s="379"/>
      <c r="N64" s="380"/>
      <c r="O64" s="381"/>
      <c r="P64" s="437" t="str">
        <f>IF(TRIM(O64)="", "", IF(VLOOKUP(O64,'Footnotes list'!$D$9:$E$58,2,FALSE)=0,"",VLOOKUP(O64,'Footnotes list'!$D$9:$E$58,2,FALSE) ) )</f>
        <v/>
      </c>
      <c r="Q64" s="394" t="str">
        <f>IF(AND(TRIM(Q62)="",TRIM(Q63)=""),"",Q62+Q63)</f>
        <v/>
      </c>
      <c r="R64" s="379"/>
      <c r="S64" s="380"/>
      <c r="T64" s="381"/>
      <c r="U64" s="437" t="str">
        <f>IF(TRIM(T64)="", "", IF(VLOOKUP(T64,'Footnotes list'!$D$9:$E$58,2,FALSE)=0,"",VLOOKUP(T64,'Footnotes list'!$D$9:$E$58,2,FALSE) ) )</f>
        <v/>
      </c>
      <c r="V64" s="394" t="str">
        <f>IF(AND(TRIM(V62)="",TRIM(V63)=""),"",V62+V63)</f>
        <v/>
      </c>
      <c r="W64" s="379"/>
      <c r="X64" s="380"/>
      <c r="Y64" s="381"/>
      <c r="Z64" s="437" t="str">
        <f>IF(TRIM(Y64)="", "", IF(VLOOKUP(Y64,'Footnotes list'!$D$9:$E$58,2,FALSE)=0,"",VLOOKUP(Y64,'Footnotes list'!$D$9:$E$58,2,FALSE) ) )</f>
        <v/>
      </c>
      <c r="AA64" s="394" t="str">
        <f>IF(AND(TRIM(AA62)="", TRIM(AA63)=""), "", SUM(AA62,AA63))</f>
        <v/>
      </c>
      <c r="AB64" s="379"/>
      <c r="AC64" s="380"/>
      <c r="AD64" s="381"/>
      <c r="AE64" s="437" t="str">
        <f>IF(TRIM(AD64)="", "", IF(VLOOKUP(AD64,'Footnotes list'!$D$9:$E$58,2,FALSE)=0,"",VLOOKUP(AD64,'Footnotes list'!$D$9:$E$58,2,FALSE) ) )</f>
        <v/>
      </c>
      <c r="AF64" s="394" t="str">
        <f>IF(AND(TRIM(AF62)="",TRIM(AF63)=""),"",AF62+AF63)</f>
        <v/>
      </c>
      <c r="AG64" s="379"/>
      <c r="AH64" s="380"/>
      <c r="AI64" s="381"/>
      <c r="AJ64" s="437" t="str">
        <f>IF(TRIM(AI64)="", "", IF(VLOOKUP(AI64,'Footnotes list'!$D$9:$E$58,2,FALSE)=0,"",VLOOKUP(AI64,'Footnotes list'!$D$9:$E$58,2,FALSE) ) )</f>
        <v/>
      </c>
      <c r="AK64" s="394" t="str">
        <f>IF(AND(TRIM(AK62)="",TRIM(AK63)=""),"",AK62+AK63)</f>
        <v/>
      </c>
      <c r="AL64" s="379"/>
      <c r="AM64" s="380"/>
      <c r="AN64" s="381"/>
      <c r="AO64" s="437" t="str">
        <f>IF(TRIM(AN64)="", "", IF(VLOOKUP(AN64,'Footnotes list'!$D$9:$E$58,2,FALSE)=0,"",VLOOKUP(AN64,'Footnotes list'!$D$9:$E$58,2,FALSE) ) )</f>
        <v/>
      </c>
      <c r="AP64" s="394" t="str">
        <f>IF(AND(TRIM(AP62)="", TRIM(AP63)=""), "", SUM(AP62,AP63))</f>
        <v/>
      </c>
      <c r="AQ64" s="379"/>
      <c r="AR64" s="380"/>
      <c r="AS64" s="381"/>
      <c r="AT64" s="437" t="str">
        <f>IF(TRIM(AS64)="", "", IF(VLOOKUP(AS64,'Footnotes list'!$D$9:$E$58,2,FALSE)=0,"",VLOOKUP(AS64,'Footnotes list'!$D$9:$E$58,2,FALSE) ) )</f>
        <v/>
      </c>
      <c r="AU64" s="394" t="str">
        <f>IF(AND(TRIM(AU62)="", TRIM(AU63)=""), "", SUM(AU62,AU63) )</f>
        <v/>
      </c>
      <c r="AV64" s="379"/>
      <c r="AW64" s="380"/>
      <c r="AX64" s="381"/>
      <c r="AY64" s="437" t="str">
        <f>IF(TRIM(AX64)="", "", IF(VLOOKUP(AX64,'Footnotes list'!$D$9:$E$58,2,FALSE)=0,"",VLOOKUP(AX64,'Footnotes list'!$D$9:$E$58,2,FALSE) ) )</f>
        <v/>
      </c>
    </row>
    <row r="65" spans="2:51" ht="15" customHeight="1" x14ac:dyDescent="0.35">
      <c r="B65" s="540" t="s">
        <v>129</v>
      </c>
      <c r="C65" s="416" t="s">
        <v>129</v>
      </c>
      <c r="D65" s="543" t="s">
        <v>94</v>
      </c>
      <c r="E65" s="417" t="s">
        <v>144</v>
      </c>
      <c r="F65" s="418" t="s">
        <v>151</v>
      </c>
      <c r="G65" s="372"/>
      <c r="H65" s="373"/>
      <c r="I65" s="374"/>
      <c r="J65" s="375"/>
      <c r="K65" s="433" t="str">
        <f>IF(TRIM(J65)="", "", IF(VLOOKUP(J65,'Footnotes list'!$D$9:$E$58,2,FALSE)=0,"",VLOOKUP(J65,'Footnotes list'!$D$9:$E$58,2,FALSE) ) )</f>
        <v/>
      </c>
      <c r="L65" s="372"/>
      <c r="M65" s="373"/>
      <c r="N65" s="374"/>
      <c r="O65" s="375"/>
      <c r="P65" s="433" t="str">
        <f>IF(TRIM(O65)="", "", IF(VLOOKUP(O65,'Footnotes list'!$D$9:$E$58,2,FALSE)=0,"",VLOOKUP(O65,'Footnotes list'!$D$9:$E$58,2,FALSE) ) )</f>
        <v/>
      </c>
      <c r="Q65" s="372"/>
      <c r="R65" s="373"/>
      <c r="S65" s="374"/>
      <c r="T65" s="375"/>
      <c r="U65" s="433" t="str">
        <f>IF(TRIM(T65)="", "", IF(VLOOKUP(T65,'Footnotes list'!$D$9:$E$58,2,FALSE)=0,"",VLOOKUP(T65,'Footnotes list'!$D$9:$E$58,2,FALSE) ) )</f>
        <v/>
      </c>
      <c r="V65" s="372"/>
      <c r="W65" s="373"/>
      <c r="X65" s="374"/>
      <c r="Y65" s="375"/>
      <c r="Z65" s="433" t="str">
        <f>IF(TRIM(Y65)="", "", IF(VLOOKUP(Y65,'Footnotes list'!$D$9:$E$58,2,FALSE)=0,"",VLOOKUP(Y65,'Footnotes list'!$D$9:$E$58,2,FALSE) ) )</f>
        <v/>
      </c>
      <c r="AA65" s="400" t="str">
        <f>IF(AND(TRIM(Q65)="",TRIM(V65)=""),"",Q65+V65)</f>
        <v/>
      </c>
      <c r="AB65" s="373"/>
      <c r="AC65" s="374"/>
      <c r="AD65" s="375"/>
      <c r="AE65" s="433" t="str">
        <f>IF(TRIM(AD65)="", "", IF(VLOOKUP(AD65,'Footnotes list'!$D$9:$E$58,2,FALSE)=0,"",VLOOKUP(AD65,'Footnotes list'!$D$9:$E$58,2,FALSE) ) )</f>
        <v/>
      </c>
      <c r="AF65" s="372"/>
      <c r="AG65" s="373"/>
      <c r="AH65" s="374"/>
      <c r="AI65" s="375"/>
      <c r="AJ65" s="433" t="str">
        <f>IF(TRIM(AI65)="", "", IF(VLOOKUP(AI65,'Footnotes list'!$D$9:$E$58,2,FALSE)=0,"",VLOOKUP(AI65,'Footnotes list'!$D$9:$E$58,2,FALSE) ) )</f>
        <v/>
      </c>
      <c r="AK65" s="372"/>
      <c r="AL65" s="373"/>
      <c r="AM65" s="374"/>
      <c r="AN65" s="375"/>
      <c r="AO65" s="433" t="str">
        <f>IF(TRIM(AN65)="", "", IF(VLOOKUP(AN65,'Footnotes list'!$D$9:$E$58,2,FALSE)=0,"",VLOOKUP(AN65,'Footnotes list'!$D$9:$E$58,2,FALSE) ) )</f>
        <v/>
      </c>
      <c r="AP65" s="400" t="str">
        <f>IF(AND(TRIM(AF65)="",TRIM(AK65)=""),"",AF65+AK65)</f>
        <v/>
      </c>
      <c r="AQ65" s="373"/>
      <c r="AR65" s="374"/>
      <c r="AS65" s="375"/>
      <c r="AT65" s="433" t="str">
        <f>IF(TRIM(AS65)="", "", IF(VLOOKUP(AS65,'Footnotes list'!$D$9:$E$58,2,FALSE)=0,"",VLOOKUP(AS65,'Footnotes list'!$D$9:$E$58,2,FALSE) ) )</f>
        <v/>
      </c>
      <c r="AU65" s="400" t="str">
        <f>IF(AND(TRIM(G65)="",TRIM(L65)="",TRIM(AA65)="",TRIM(AP65)=""),"",SUM(G65,L65,AA65,AP65))</f>
        <v/>
      </c>
      <c r="AV65" s="373"/>
      <c r="AW65" s="374"/>
      <c r="AX65" s="375"/>
      <c r="AY65" s="433" t="str">
        <f>IF(TRIM(AX65)="", "", IF(VLOOKUP(AX65,'Footnotes list'!$D$9:$E$58,2,FALSE)=0,"",VLOOKUP(AX65,'Footnotes list'!$D$9:$E$58,2,FALSE) ) )</f>
        <v/>
      </c>
    </row>
    <row r="66" spans="2:51" ht="15" customHeight="1" x14ac:dyDescent="0.35">
      <c r="B66" s="541"/>
      <c r="C66" s="424" t="s">
        <v>129</v>
      </c>
      <c r="D66" s="544"/>
      <c r="E66" s="425" t="s">
        <v>145</v>
      </c>
      <c r="F66" s="426" t="s">
        <v>152</v>
      </c>
      <c r="G66" s="378"/>
      <c r="H66" s="379"/>
      <c r="I66" s="380"/>
      <c r="J66" s="381"/>
      <c r="K66" s="437" t="str">
        <f>IF(TRIM(J66)="", "", IF(VLOOKUP(J66,'Footnotes list'!$D$9:$E$58,2,FALSE)=0,"",VLOOKUP(J66,'Footnotes list'!$D$9:$E$58,2,FALSE) ) )</f>
        <v/>
      </c>
      <c r="L66" s="378"/>
      <c r="M66" s="379"/>
      <c r="N66" s="380"/>
      <c r="O66" s="381"/>
      <c r="P66" s="437" t="str">
        <f>IF(TRIM(O66)="", "", IF(VLOOKUP(O66,'Footnotes list'!$D$9:$E$58,2,FALSE)=0,"",VLOOKUP(O66,'Footnotes list'!$D$9:$E$58,2,FALSE) ) )</f>
        <v/>
      </c>
      <c r="Q66" s="378"/>
      <c r="R66" s="379"/>
      <c r="S66" s="380"/>
      <c r="T66" s="381"/>
      <c r="U66" s="437" t="str">
        <f>IF(TRIM(T66)="", "", IF(VLOOKUP(T66,'Footnotes list'!$D$9:$E$58,2,FALSE)=0,"",VLOOKUP(T66,'Footnotes list'!$D$9:$E$58,2,FALSE) ) )</f>
        <v/>
      </c>
      <c r="V66" s="378"/>
      <c r="W66" s="379"/>
      <c r="X66" s="380"/>
      <c r="Y66" s="381"/>
      <c r="Z66" s="437" t="str">
        <f>IF(TRIM(Y66)="", "", IF(VLOOKUP(Y66,'Footnotes list'!$D$9:$E$58,2,FALSE)=0,"",VLOOKUP(Y66,'Footnotes list'!$D$9:$E$58,2,FALSE) ) )</f>
        <v/>
      </c>
      <c r="AA66" s="399" t="str">
        <f>IF(AND(TRIM(Q66)="",TRIM(V66)=""),"",Q66+V66)</f>
        <v/>
      </c>
      <c r="AB66" s="379"/>
      <c r="AC66" s="380"/>
      <c r="AD66" s="381"/>
      <c r="AE66" s="437" t="str">
        <f>IF(TRIM(AD66)="", "", IF(VLOOKUP(AD66,'Footnotes list'!$D$9:$E$58,2,FALSE)=0,"",VLOOKUP(AD66,'Footnotes list'!$D$9:$E$58,2,FALSE) ) )</f>
        <v/>
      </c>
      <c r="AF66" s="378"/>
      <c r="AG66" s="379"/>
      <c r="AH66" s="380"/>
      <c r="AI66" s="381"/>
      <c r="AJ66" s="437" t="str">
        <f>IF(TRIM(AI66)="", "", IF(VLOOKUP(AI66,'Footnotes list'!$D$9:$E$58,2,FALSE)=0,"",VLOOKUP(AI66,'Footnotes list'!$D$9:$E$58,2,FALSE) ) )</f>
        <v/>
      </c>
      <c r="AK66" s="378"/>
      <c r="AL66" s="379"/>
      <c r="AM66" s="380"/>
      <c r="AN66" s="381"/>
      <c r="AO66" s="437" t="str">
        <f>IF(TRIM(AN66)="", "", IF(VLOOKUP(AN66,'Footnotes list'!$D$9:$E$58,2,FALSE)=0,"",VLOOKUP(AN66,'Footnotes list'!$D$9:$E$58,2,FALSE) ) )</f>
        <v/>
      </c>
      <c r="AP66" s="399" t="str">
        <f>IF(AND(TRIM(AF66)="",TRIM(AK66)=""),"",AF66+AK66)</f>
        <v/>
      </c>
      <c r="AQ66" s="379"/>
      <c r="AR66" s="380"/>
      <c r="AS66" s="381"/>
      <c r="AT66" s="437" t="str">
        <f>IF(TRIM(AS66)="", "", IF(VLOOKUP(AS66,'Footnotes list'!$D$9:$E$58,2,FALSE)=0,"",VLOOKUP(AS66,'Footnotes list'!$D$9:$E$58,2,FALSE) ) )</f>
        <v/>
      </c>
      <c r="AU66" s="438" t="str">
        <f>IF(AND(TRIM(G66)="",TRIM(L66)="",TRIM(AA66)="",TRIM(AP66)=""),"",SUM(G66,L66,AA66,AP66))</f>
        <v/>
      </c>
      <c r="AV66" s="379"/>
      <c r="AW66" s="380"/>
      <c r="AX66" s="381"/>
      <c r="AY66" s="437" t="str">
        <f>IF(TRIM(AX66)="", "", IF(VLOOKUP(AX66,'Footnotes list'!$D$9:$E$58,2,FALSE)=0,"",VLOOKUP(AX66,'Footnotes list'!$D$9:$E$58,2,FALSE) ) )</f>
        <v/>
      </c>
    </row>
    <row r="67" spans="2:51" ht="15" customHeight="1" thickBot="1" x14ac:dyDescent="0.4">
      <c r="B67" s="542"/>
      <c r="C67" s="427" t="s">
        <v>129</v>
      </c>
      <c r="D67" s="545"/>
      <c r="E67" s="422" t="s">
        <v>146</v>
      </c>
      <c r="F67" s="428" t="s">
        <v>234</v>
      </c>
      <c r="G67" s="394" t="str">
        <f>IF(AND(TRIM(G65)="",TRIM(G66)=""),"",G65+G66)</f>
        <v/>
      </c>
      <c r="H67" s="379"/>
      <c r="I67" s="380"/>
      <c r="J67" s="381"/>
      <c r="K67" s="437" t="str">
        <f>IF(TRIM(J67)="", "", IF(VLOOKUP(J67,'Footnotes list'!$D$9:$E$58,2,FALSE)=0,"",VLOOKUP(J67,'Footnotes list'!$D$9:$E$58,2,FALSE) ) )</f>
        <v/>
      </c>
      <c r="L67" s="394" t="str">
        <f>IF(AND(TRIM(L65)="",TRIM(L66)=""),"",L65+L66)</f>
        <v/>
      </c>
      <c r="M67" s="379"/>
      <c r="N67" s="380"/>
      <c r="O67" s="381"/>
      <c r="P67" s="437" t="str">
        <f>IF(TRIM(O67)="", "", IF(VLOOKUP(O67,'Footnotes list'!$D$9:$E$58,2,FALSE)=0,"",VLOOKUP(O67,'Footnotes list'!$D$9:$E$58,2,FALSE) ) )</f>
        <v/>
      </c>
      <c r="Q67" s="394" t="str">
        <f>IF(AND(TRIM(Q65)="",TRIM(Q66)=""),"",Q65+Q66)</f>
        <v/>
      </c>
      <c r="R67" s="379"/>
      <c r="S67" s="380"/>
      <c r="T67" s="381"/>
      <c r="U67" s="437" t="str">
        <f>IF(TRIM(T67)="", "", IF(VLOOKUP(T67,'Footnotes list'!$D$9:$E$58,2,FALSE)=0,"",VLOOKUP(T67,'Footnotes list'!$D$9:$E$58,2,FALSE) ) )</f>
        <v/>
      </c>
      <c r="V67" s="394" t="str">
        <f>IF(AND(TRIM(V65)="",TRIM(V66)=""),"",V65+V66)</f>
        <v/>
      </c>
      <c r="W67" s="379"/>
      <c r="X67" s="380"/>
      <c r="Y67" s="381"/>
      <c r="Z67" s="437" t="str">
        <f>IF(TRIM(Y67)="", "", IF(VLOOKUP(Y67,'Footnotes list'!$D$9:$E$58,2,FALSE)=0,"",VLOOKUP(Y67,'Footnotes list'!$D$9:$E$58,2,FALSE) ) )</f>
        <v/>
      </c>
      <c r="AA67" s="394" t="str">
        <f>IF(AND(TRIM(AA65)="", TRIM(AA66)=""), "", SUM(AA65,AA66))</f>
        <v/>
      </c>
      <c r="AB67" s="379"/>
      <c r="AC67" s="380"/>
      <c r="AD67" s="381"/>
      <c r="AE67" s="437" t="str">
        <f>IF(TRIM(AD67)="", "", IF(VLOOKUP(AD67,'Footnotes list'!$D$9:$E$58,2,FALSE)=0,"",VLOOKUP(AD67,'Footnotes list'!$D$9:$E$58,2,FALSE) ) )</f>
        <v/>
      </c>
      <c r="AF67" s="394" t="str">
        <f>IF(AND(TRIM(AF65)="",TRIM(AF66)=""),"",AF65+AF66)</f>
        <v/>
      </c>
      <c r="AG67" s="379"/>
      <c r="AH67" s="380"/>
      <c r="AI67" s="381"/>
      <c r="AJ67" s="437" t="str">
        <f>IF(TRIM(AI67)="", "", IF(VLOOKUP(AI67,'Footnotes list'!$D$9:$E$58,2,FALSE)=0,"",VLOOKUP(AI67,'Footnotes list'!$D$9:$E$58,2,FALSE) ) )</f>
        <v/>
      </c>
      <c r="AK67" s="394" t="str">
        <f>IF(AND(TRIM(AK65)="",TRIM(AK66)=""),"",AK65+AK66)</f>
        <v/>
      </c>
      <c r="AL67" s="379"/>
      <c r="AM67" s="380"/>
      <c r="AN67" s="381"/>
      <c r="AO67" s="437" t="str">
        <f>IF(TRIM(AN67)="", "", IF(VLOOKUP(AN67,'Footnotes list'!$D$9:$E$58,2,FALSE)=0,"",VLOOKUP(AN67,'Footnotes list'!$D$9:$E$58,2,FALSE) ) )</f>
        <v/>
      </c>
      <c r="AP67" s="394" t="str">
        <f>IF(AND(TRIM(AP65)="", TRIM(AP66)=""), "", SUM(AP65,AP66))</f>
        <v/>
      </c>
      <c r="AQ67" s="379"/>
      <c r="AR67" s="380"/>
      <c r="AS67" s="381"/>
      <c r="AT67" s="437" t="str">
        <f>IF(TRIM(AS67)="", "", IF(VLOOKUP(AS67,'Footnotes list'!$D$9:$E$58,2,FALSE)=0,"",VLOOKUP(AS67,'Footnotes list'!$D$9:$E$58,2,FALSE) ) )</f>
        <v/>
      </c>
      <c r="AU67" s="394" t="str">
        <f>IF(AND(TRIM(AU65)="", TRIM(AU66)=""), "", SUM(AU65,AU66) )</f>
        <v/>
      </c>
      <c r="AV67" s="379"/>
      <c r="AW67" s="380"/>
      <c r="AX67" s="381"/>
      <c r="AY67" s="437" t="str">
        <f>IF(TRIM(AX67)="", "", IF(VLOOKUP(AX67,'Footnotes list'!$D$9:$E$58,2,FALSE)=0,"",VLOOKUP(AX67,'Footnotes list'!$D$9:$E$58,2,FALSE) ) )</f>
        <v/>
      </c>
    </row>
    <row r="68" spans="2:51" ht="15" customHeight="1" thickBot="1" x14ac:dyDescent="0.4">
      <c r="B68" s="540" t="s">
        <v>130</v>
      </c>
      <c r="C68" s="429"/>
      <c r="D68" s="543" t="s">
        <v>95</v>
      </c>
      <c r="E68" s="429"/>
      <c r="F68" s="420" t="s">
        <v>233</v>
      </c>
      <c r="G68" s="439"/>
      <c r="H68" s="446"/>
      <c r="I68" s="447"/>
      <c r="J68" s="448"/>
      <c r="K68" s="445"/>
      <c r="L68" s="439"/>
      <c r="M68" s="446"/>
      <c r="N68" s="447"/>
      <c r="O68" s="448"/>
      <c r="P68" s="445"/>
      <c r="Q68" s="439"/>
      <c r="R68" s="446"/>
      <c r="S68" s="447"/>
      <c r="T68" s="448"/>
      <c r="U68" s="445"/>
      <c r="V68" s="439"/>
      <c r="W68" s="446"/>
      <c r="X68" s="447"/>
      <c r="Y68" s="448"/>
      <c r="Z68" s="445"/>
      <c r="AA68" s="439"/>
      <c r="AB68" s="446"/>
      <c r="AC68" s="447"/>
      <c r="AD68" s="448"/>
      <c r="AE68" s="445"/>
      <c r="AF68" s="439"/>
      <c r="AG68" s="446"/>
      <c r="AH68" s="447"/>
      <c r="AI68" s="448"/>
      <c r="AJ68" s="445"/>
      <c r="AK68" s="439"/>
      <c r="AL68" s="446"/>
      <c r="AM68" s="447"/>
      <c r="AN68" s="448"/>
      <c r="AO68" s="445"/>
      <c r="AP68" s="439"/>
      <c r="AQ68" s="446"/>
      <c r="AR68" s="447"/>
      <c r="AS68" s="448"/>
      <c r="AT68" s="445"/>
      <c r="AU68" s="439"/>
      <c r="AV68" s="446"/>
      <c r="AW68" s="447"/>
      <c r="AX68" s="448"/>
      <c r="AY68" s="445"/>
    </row>
    <row r="69" spans="2:51" ht="15" customHeight="1" x14ac:dyDescent="0.35">
      <c r="B69" s="541"/>
      <c r="C69" s="424" t="s">
        <v>130</v>
      </c>
      <c r="D69" s="544"/>
      <c r="E69" s="425" t="s">
        <v>145</v>
      </c>
      <c r="F69" s="426" t="s">
        <v>152</v>
      </c>
      <c r="G69" s="378"/>
      <c r="H69" s="379"/>
      <c r="I69" s="380"/>
      <c r="J69" s="381"/>
      <c r="K69" s="437" t="str">
        <f>IF(TRIM(J69)="", "", IF(VLOOKUP(J69,'Footnotes list'!$D$9:$E$58,2,FALSE)=0,"",VLOOKUP(J69,'Footnotes list'!$D$9:$E$58,2,FALSE) ) )</f>
        <v/>
      </c>
      <c r="L69" s="378"/>
      <c r="M69" s="379"/>
      <c r="N69" s="380"/>
      <c r="O69" s="381"/>
      <c r="P69" s="437" t="str">
        <f>IF(TRIM(O69)="", "", IF(VLOOKUP(O69,'Footnotes list'!$D$9:$E$58,2,FALSE)=0,"",VLOOKUP(O69,'Footnotes list'!$D$9:$E$58,2,FALSE) ) )</f>
        <v/>
      </c>
      <c r="Q69" s="378"/>
      <c r="R69" s="379"/>
      <c r="S69" s="380"/>
      <c r="T69" s="381"/>
      <c r="U69" s="437" t="str">
        <f>IF(TRIM(T69)="", "", IF(VLOOKUP(T69,'Footnotes list'!$D$9:$E$58,2,FALSE)=0,"",VLOOKUP(T69,'Footnotes list'!$D$9:$E$58,2,FALSE) ) )</f>
        <v/>
      </c>
      <c r="V69" s="378"/>
      <c r="W69" s="379"/>
      <c r="X69" s="380"/>
      <c r="Y69" s="381"/>
      <c r="Z69" s="437" t="str">
        <f>IF(TRIM(Y69)="", "", IF(VLOOKUP(Y69,'Footnotes list'!$D$9:$E$58,2,FALSE)=0,"",VLOOKUP(Y69,'Footnotes list'!$D$9:$E$58,2,FALSE) ) )</f>
        <v/>
      </c>
      <c r="AA69" s="399" t="str">
        <f>IF(AND(TRIM(Q69)="",TRIM(V69)=""),"",Q69+V69)</f>
        <v/>
      </c>
      <c r="AB69" s="379"/>
      <c r="AC69" s="380"/>
      <c r="AD69" s="381"/>
      <c r="AE69" s="437" t="str">
        <f>IF(TRIM(AD69)="", "", IF(VLOOKUP(AD69,'Footnotes list'!$D$9:$E$58,2,FALSE)=0,"",VLOOKUP(AD69,'Footnotes list'!$D$9:$E$58,2,FALSE) ) )</f>
        <v/>
      </c>
      <c r="AF69" s="378"/>
      <c r="AG69" s="379"/>
      <c r="AH69" s="380"/>
      <c r="AI69" s="381"/>
      <c r="AJ69" s="437" t="str">
        <f>IF(TRIM(AI69)="", "", IF(VLOOKUP(AI69,'Footnotes list'!$D$9:$E$58,2,FALSE)=0,"",VLOOKUP(AI69,'Footnotes list'!$D$9:$E$58,2,FALSE) ) )</f>
        <v/>
      </c>
      <c r="AK69" s="378"/>
      <c r="AL69" s="379"/>
      <c r="AM69" s="380"/>
      <c r="AN69" s="381"/>
      <c r="AO69" s="437" t="str">
        <f>IF(TRIM(AN69)="", "", IF(VLOOKUP(AN69,'Footnotes list'!$D$9:$E$58,2,FALSE)=0,"",VLOOKUP(AN69,'Footnotes list'!$D$9:$E$58,2,FALSE) ) )</f>
        <v/>
      </c>
      <c r="AP69" s="399" t="str">
        <f>IF(AND(TRIM(AF69)="",TRIM(AK69)=""),"",AF69+AK69)</f>
        <v/>
      </c>
      <c r="AQ69" s="379"/>
      <c r="AR69" s="380"/>
      <c r="AS69" s="381"/>
      <c r="AT69" s="437" t="str">
        <f>IF(TRIM(AS69)="", "", IF(VLOOKUP(AS69,'Footnotes list'!$D$9:$E$58,2,FALSE)=0,"",VLOOKUP(AS69,'Footnotes list'!$D$9:$E$58,2,FALSE) ) )</f>
        <v/>
      </c>
      <c r="AU69" s="438" t="str">
        <f>IF(AND(TRIM(G69)="",TRIM(L69)="",TRIM(AA69)="",TRIM(AP69)=""),"",SUM(G69,L69,AA69,AP69))</f>
        <v/>
      </c>
      <c r="AV69" s="379"/>
      <c r="AW69" s="380"/>
      <c r="AX69" s="381"/>
      <c r="AY69" s="437" t="str">
        <f>IF(TRIM(AX69)="", "", IF(VLOOKUP(AX69,'Footnotes list'!$D$9:$E$58,2,FALSE)=0,"",VLOOKUP(AX69,'Footnotes list'!$D$9:$E$58,2,FALSE) ) )</f>
        <v/>
      </c>
    </row>
    <row r="70" spans="2:51" ht="15" customHeight="1" thickBot="1" x14ac:dyDescent="0.4">
      <c r="B70" s="542"/>
      <c r="C70" s="427" t="s">
        <v>130</v>
      </c>
      <c r="D70" s="545"/>
      <c r="E70" s="422" t="s">
        <v>146</v>
      </c>
      <c r="F70" s="428" t="s">
        <v>234</v>
      </c>
      <c r="G70" s="394" t="str">
        <f>IF(AND(TRIM(G68)="",TRIM(G69)=""),"",G68+G69)</f>
        <v/>
      </c>
      <c r="H70" s="379"/>
      <c r="I70" s="380"/>
      <c r="J70" s="381"/>
      <c r="K70" s="437" t="str">
        <f>IF(TRIM(J70)="", "", IF(VLOOKUP(J70,'Footnotes list'!$D$9:$E$58,2,FALSE)=0,"",VLOOKUP(J70,'Footnotes list'!$D$9:$E$58,2,FALSE) ) )</f>
        <v/>
      </c>
      <c r="L70" s="394" t="str">
        <f>IF(AND(TRIM(L68)="",TRIM(L69)=""),"",L68+L69)</f>
        <v/>
      </c>
      <c r="M70" s="379"/>
      <c r="N70" s="380"/>
      <c r="O70" s="381"/>
      <c r="P70" s="437" t="str">
        <f>IF(TRIM(O70)="", "", IF(VLOOKUP(O70,'Footnotes list'!$D$9:$E$58,2,FALSE)=0,"",VLOOKUP(O70,'Footnotes list'!$D$9:$E$58,2,FALSE) ) )</f>
        <v/>
      </c>
      <c r="Q70" s="394" t="str">
        <f>IF(AND(TRIM(Q68)="",TRIM(Q69)=""),"",Q68+Q69)</f>
        <v/>
      </c>
      <c r="R70" s="379"/>
      <c r="S70" s="380"/>
      <c r="T70" s="381"/>
      <c r="U70" s="437" t="str">
        <f>IF(TRIM(T70)="", "", IF(VLOOKUP(T70,'Footnotes list'!$D$9:$E$58,2,FALSE)=0,"",VLOOKUP(T70,'Footnotes list'!$D$9:$E$58,2,FALSE) ) )</f>
        <v/>
      </c>
      <c r="V70" s="394" t="str">
        <f>IF(AND(TRIM(V68)="",TRIM(V69)=""),"",V68+V69)</f>
        <v/>
      </c>
      <c r="W70" s="379"/>
      <c r="X70" s="380"/>
      <c r="Y70" s="381"/>
      <c r="Z70" s="437" t="str">
        <f>IF(TRIM(Y70)="", "", IF(VLOOKUP(Y70,'Footnotes list'!$D$9:$E$58,2,FALSE)=0,"",VLOOKUP(Y70,'Footnotes list'!$D$9:$E$58,2,FALSE) ) )</f>
        <v/>
      </c>
      <c r="AA70" s="394" t="str">
        <f>IF(AND(TRIM(AA68)="", TRIM(AA69)=""), "", SUM(AA68,AA69))</f>
        <v/>
      </c>
      <c r="AB70" s="379"/>
      <c r="AC70" s="380"/>
      <c r="AD70" s="381"/>
      <c r="AE70" s="437" t="str">
        <f>IF(TRIM(AD70)="", "", IF(VLOOKUP(AD70,'Footnotes list'!$D$9:$E$58,2,FALSE)=0,"",VLOOKUP(AD70,'Footnotes list'!$D$9:$E$58,2,FALSE) ) )</f>
        <v/>
      </c>
      <c r="AF70" s="394" t="str">
        <f>IF(AND(TRIM(AF68)="",TRIM(AF69)=""),"",AF68+AF69)</f>
        <v/>
      </c>
      <c r="AG70" s="379"/>
      <c r="AH70" s="380"/>
      <c r="AI70" s="381"/>
      <c r="AJ70" s="437" t="str">
        <f>IF(TRIM(AI70)="", "", IF(VLOOKUP(AI70,'Footnotes list'!$D$9:$E$58,2,FALSE)=0,"",VLOOKUP(AI70,'Footnotes list'!$D$9:$E$58,2,FALSE) ) )</f>
        <v/>
      </c>
      <c r="AK70" s="394" t="str">
        <f>IF(AND(TRIM(AK68)="",TRIM(AK69)=""),"",AK68+AK69)</f>
        <v/>
      </c>
      <c r="AL70" s="379"/>
      <c r="AM70" s="380"/>
      <c r="AN70" s="381"/>
      <c r="AO70" s="437" t="str">
        <f>IF(TRIM(AN70)="", "", IF(VLOOKUP(AN70,'Footnotes list'!$D$9:$E$58,2,FALSE)=0,"",VLOOKUP(AN70,'Footnotes list'!$D$9:$E$58,2,FALSE) ) )</f>
        <v/>
      </c>
      <c r="AP70" s="394" t="str">
        <f>IF(AND(TRIM(AP68)="", TRIM(AP69)=""), "", SUM(AP68,AP69))</f>
        <v/>
      </c>
      <c r="AQ70" s="379"/>
      <c r="AR70" s="380"/>
      <c r="AS70" s="381"/>
      <c r="AT70" s="437" t="str">
        <f>IF(TRIM(AS70)="", "", IF(VLOOKUP(AS70,'Footnotes list'!$D$9:$E$58,2,FALSE)=0,"",VLOOKUP(AS70,'Footnotes list'!$D$9:$E$58,2,FALSE) ) )</f>
        <v/>
      </c>
      <c r="AU70" s="394" t="str">
        <f>IF(AND(TRIM(AU68)="", TRIM(AU69)=""), "", SUM(AU68,AU69) )</f>
        <v/>
      </c>
      <c r="AV70" s="379"/>
      <c r="AW70" s="380"/>
      <c r="AX70" s="381"/>
      <c r="AY70" s="437" t="str">
        <f>IF(TRIM(AX70)="", "", IF(VLOOKUP(AX70,'Footnotes list'!$D$9:$E$58,2,FALSE)=0,"",VLOOKUP(AX70,'Footnotes list'!$D$9:$E$58,2,FALSE) ) )</f>
        <v/>
      </c>
    </row>
    <row r="71" spans="2:51" ht="15" customHeight="1" thickBot="1" x14ac:dyDescent="0.4">
      <c r="B71" s="540" t="s">
        <v>131</v>
      </c>
      <c r="C71" s="429"/>
      <c r="D71" s="543" t="s">
        <v>96</v>
      </c>
      <c r="E71" s="429"/>
      <c r="F71" s="420" t="s">
        <v>233</v>
      </c>
      <c r="G71" s="439"/>
      <c r="H71" s="446"/>
      <c r="I71" s="447"/>
      <c r="J71" s="448"/>
      <c r="K71" s="445"/>
      <c r="L71" s="439"/>
      <c r="M71" s="446"/>
      <c r="N71" s="447"/>
      <c r="O71" s="448"/>
      <c r="P71" s="445"/>
      <c r="Q71" s="439"/>
      <c r="R71" s="446"/>
      <c r="S71" s="447"/>
      <c r="T71" s="448"/>
      <c r="U71" s="445"/>
      <c r="V71" s="439"/>
      <c r="W71" s="446"/>
      <c r="X71" s="447"/>
      <c r="Y71" s="448"/>
      <c r="Z71" s="445"/>
      <c r="AA71" s="439"/>
      <c r="AB71" s="446"/>
      <c r="AC71" s="447"/>
      <c r="AD71" s="448"/>
      <c r="AE71" s="445"/>
      <c r="AF71" s="439"/>
      <c r="AG71" s="446"/>
      <c r="AH71" s="447"/>
      <c r="AI71" s="448"/>
      <c r="AJ71" s="445"/>
      <c r="AK71" s="439"/>
      <c r="AL71" s="446"/>
      <c r="AM71" s="447"/>
      <c r="AN71" s="448"/>
      <c r="AO71" s="445"/>
      <c r="AP71" s="439"/>
      <c r="AQ71" s="446"/>
      <c r="AR71" s="447"/>
      <c r="AS71" s="448"/>
      <c r="AT71" s="445"/>
      <c r="AU71" s="439"/>
      <c r="AV71" s="446"/>
      <c r="AW71" s="447"/>
      <c r="AX71" s="448"/>
      <c r="AY71" s="445"/>
    </row>
    <row r="72" spans="2:51" ht="15" customHeight="1" x14ac:dyDescent="0.35">
      <c r="B72" s="541"/>
      <c r="C72" s="424" t="s">
        <v>131</v>
      </c>
      <c r="D72" s="544"/>
      <c r="E72" s="425" t="s">
        <v>145</v>
      </c>
      <c r="F72" s="426" t="s">
        <v>152</v>
      </c>
      <c r="G72" s="378"/>
      <c r="H72" s="379"/>
      <c r="I72" s="380"/>
      <c r="J72" s="381"/>
      <c r="K72" s="437" t="str">
        <f>IF(TRIM(J72)="", "", IF(VLOOKUP(J72,'Footnotes list'!$D$9:$E$58,2,FALSE)=0,"",VLOOKUP(J72,'Footnotes list'!$D$9:$E$58,2,FALSE) ) )</f>
        <v/>
      </c>
      <c r="L72" s="378"/>
      <c r="M72" s="379"/>
      <c r="N72" s="380"/>
      <c r="O72" s="381"/>
      <c r="P72" s="437" t="str">
        <f>IF(TRIM(O72)="", "", IF(VLOOKUP(O72,'Footnotes list'!$D$9:$E$58,2,FALSE)=0,"",VLOOKUP(O72,'Footnotes list'!$D$9:$E$58,2,FALSE) ) )</f>
        <v/>
      </c>
      <c r="Q72" s="378"/>
      <c r="R72" s="379"/>
      <c r="S72" s="380"/>
      <c r="T72" s="381"/>
      <c r="U72" s="437" t="str">
        <f>IF(TRIM(T72)="", "", IF(VLOOKUP(T72,'Footnotes list'!$D$9:$E$58,2,FALSE)=0,"",VLOOKUP(T72,'Footnotes list'!$D$9:$E$58,2,FALSE) ) )</f>
        <v/>
      </c>
      <c r="V72" s="378"/>
      <c r="W72" s="379"/>
      <c r="X72" s="380"/>
      <c r="Y72" s="381"/>
      <c r="Z72" s="437" t="str">
        <f>IF(TRIM(Y72)="", "", IF(VLOOKUP(Y72,'Footnotes list'!$D$9:$E$58,2,FALSE)=0,"",VLOOKUP(Y72,'Footnotes list'!$D$9:$E$58,2,FALSE) ) )</f>
        <v/>
      </c>
      <c r="AA72" s="399" t="str">
        <f>IF(AND(TRIM(Q72)="",TRIM(V72)=""),"",Q72+V72)</f>
        <v/>
      </c>
      <c r="AB72" s="379"/>
      <c r="AC72" s="380"/>
      <c r="AD72" s="381"/>
      <c r="AE72" s="437" t="str">
        <f>IF(TRIM(AD72)="", "", IF(VLOOKUP(AD72,'Footnotes list'!$D$9:$E$58,2,FALSE)=0,"",VLOOKUP(AD72,'Footnotes list'!$D$9:$E$58,2,FALSE) ) )</f>
        <v/>
      </c>
      <c r="AF72" s="378"/>
      <c r="AG72" s="379"/>
      <c r="AH72" s="380"/>
      <c r="AI72" s="381"/>
      <c r="AJ72" s="437" t="str">
        <f>IF(TRIM(AI72)="", "", IF(VLOOKUP(AI72,'Footnotes list'!$D$9:$E$58,2,FALSE)=0,"",VLOOKUP(AI72,'Footnotes list'!$D$9:$E$58,2,FALSE) ) )</f>
        <v/>
      </c>
      <c r="AK72" s="378"/>
      <c r="AL72" s="379"/>
      <c r="AM72" s="380"/>
      <c r="AN72" s="381"/>
      <c r="AO72" s="437" t="str">
        <f>IF(TRIM(AN72)="", "", IF(VLOOKUP(AN72,'Footnotes list'!$D$9:$E$58,2,FALSE)=0,"",VLOOKUP(AN72,'Footnotes list'!$D$9:$E$58,2,FALSE) ) )</f>
        <v/>
      </c>
      <c r="AP72" s="399" t="str">
        <f>IF(AND(TRIM(AF72)="",TRIM(AK72)=""),"",AF72+AK72)</f>
        <v/>
      </c>
      <c r="AQ72" s="379"/>
      <c r="AR72" s="380"/>
      <c r="AS72" s="381"/>
      <c r="AT72" s="437" t="str">
        <f>IF(TRIM(AS72)="", "", IF(VLOOKUP(AS72,'Footnotes list'!$D$9:$E$58,2,FALSE)=0,"",VLOOKUP(AS72,'Footnotes list'!$D$9:$E$58,2,FALSE) ) )</f>
        <v/>
      </c>
      <c r="AU72" s="438" t="str">
        <f>IF(AND(TRIM(G72)="",TRIM(L72)="",TRIM(AA72)="",TRIM(AP72)=""),"",SUM(G72,L72,AA72,AP72))</f>
        <v/>
      </c>
      <c r="AV72" s="379"/>
      <c r="AW72" s="380"/>
      <c r="AX72" s="381"/>
      <c r="AY72" s="437" t="str">
        <f>IF(TRIM(AX72)="", "", IF(VLOOKUP(AX72,'Footnotes list'!$D$9:$E$58,2,FALSE)=0,"",VLOOKUP(AX72,'Footnotes list'!$D$9:$E$58,2,FALSE) ) )</f>
        <v/>
      </c>
    </row>
    <row r="73" spans="2:51" ht="15" customHeight="1" thickBot="1" x14ac:dyDescent="0.4">
      <c r="B73" s="542"/>
      <c r="C73" s="427" t="s">
        <v>131</v>
      </c>
      <c r="D73" s="545"/>
      <c r="E73" s="422" t="s">
        <v>146</v>
      </c>
      <c r="F73" s="428" t="s">
        <v>234</v>
      </c>
      <c r="G73" s="394" t="str">
        <f>IF(AND(TRIM(G71)="",TRIM(G72)=""),"",G71+G72)</f>
        <v/>
      </c>
      <c r="H73" s="379"/>
      <c r="I73" s="380"/>
      <c r="J73" s="381"/>
      <c r="K73" s="437" t="str">
        <f>IF(TRIM(J73)="", "", IF(VLOOKUP(J73,'Footnotes list'!$D$9:$E$58,2,FALSE)=0,"",VLOOKUP(J73,'Footnotes list'!$D$9:$E$58,2,FALSE) ) )</f>
        <v/>
      </c>
      <c r="L73" s="394" t="str">
        <f>IF(AND(TRIM(L71)="",TRIM(L72)=""),"",L71+L72)</f>
        <v/>
      </c>
      <c r="M73" s="379"/>
      <c r="N73" s="380"/>
      <c r="O73" s="381"/>
      <c r="P73" s="437" t="str">
        <f>IF(TRIM(O73)="", "", IF(VLOOKUP(O73,'Footnotes list'!$D$9:$E$58,2,FALSE)=0,"",VLOOKUP(O73,'Footnotes list'!$D$9:$E$58,2,FALSE) ) )</f>
        <v/>
      </c>
      <c r="Q73" s="394" t="str">
        <f>IF(AND(TRIM(Q71)="",TRIM(Q72)=""),"",Q71+Q72)</f>
        <v/>
      </c>
      <c r="R73" s="379"/>
      <c r="S73" s="380"/>
      <c r="T73" s="381"/>
      <c r="U73" s="437" t="str">
        <f>IF(TRIM(T73)="", "", IF(VLOOKUP(T73,'Footnotes list'!$D$9:$E$58,2,FALSE)=0,"",VLOOKUP(T73,'Footnotes list'!$D$9:$E$58,2,FALSE) ) )</f>
        <v/>
      </c>
      <c r="V73" s="394" t="str">
        <f>IF(AND(TRIM(V71)="",TRIM(V72)=""),"",V71+V72)</f>
        <v/>
      </c>
      <c r="W73" s="379"/>
      <c r="X73" s="380"/>
      <c r="Y73" s="381"/>
      <c r="Z73" s="437" t="str">
        <f>IF(TRIM(Y73)="", "", IF(VLOOKUP(Y73,'Footnotes list'!$D$9:$E$58,2,FALSE)=0,"",VLOOKUP(Y73,'Footnotes list'!$D$9:$E$58,2,FALSE) ) )</f>
        <v/>
      </c>
      <c r="AA73" s="394" t="str">
        <f>IF(AND(TRIM(AA71)="", TRIM(AA72)=""), "", SUM(AA71,AA72))</f>
        <v/>
      </c>
      <c r="AB73" s="379"/>
      <c r="AC73" s="380"/>
      <c r="AD73" s="381"/>
      <c r="AE73" s="437" t="str">
        <f>IF(TRIM(AD73)="", "", IF(VLOOKUP(AD73,'Footnotes list'!$D$9:$E$58,2,FALSE)=0,"",VLOOKUP(AD73,'Footnotes list'!$D$9:$E$58,2,FALSE) ) )</f>
        <v/>
      </c>
      <c r="AF73" s="394" t="str">
        <f>IF(AND(TRIM(AF71)="",TRIM(AF72)=""),"",AF71+AF72)</f>
        <v/>
      </c>
      <c r="AG73" s="379"/>
      <c r="AH73" s="380"/>
      <c r="AI73" s="381"/>
      <c r="AJ73" s="437" t="str">
        <f>IF(TRIM(AI73)="", "", IF(VLOOKUP(AI73,'Footnotes list'!$D$9:$E$58,2,FALSE)=0,"",VLOOKUP(AI73,'Footnotes list'!$D$9:$E$58,2,FALSE) ) )</f>
        <v/>
      </c>
      <c r="AK73" s="394" t="str">
        <f>IF(AND(TRIM(AK71)="",TRIM(AK72)=""),"",AK71+AK72)</f>
        <v/>
      </c>
      <c r="AL73" s="379"/>
      <c r="AM73" s="380"/>
      <c r="AN73" s="381"/>
      <c r="AO73" s="437" t="str">
        <f>IF(TRIM(AN73)="", "", IF(VLOOKUP(AN73,'Footnotes list'!$D$9:$E$58,2,FALSE)=0,"",VLOOKUP(AN73,'Footnotes list'!$D$9:$E$58,2,FALSE) ) )</f>
        <v/>
      </c>
      <c r="AP73" s="394" t="str">
        <f>IF(AND(TRIM(AP71)="", TRIM(AP72)=""), "", SUM(AP71,AP72))</f>
        <v/>
      </c>
      <c r="AQ73" s="379"/>
      <c r="AR73" s="380"/>
      <c r="AS73" s="381"/>
      <c r="AT73" s="437" t="str">
        <f>IF(TRIM(AS73)="", "", IF(VLOOKUP(AS73,'Footnotes list'!$D$9:$E$58,2,FALSE)=0,"",VLOOKUP(AS73,'Footnotes list'!$D$9:$E$58,2,FALSE) ) )</f>
        <v/>
      </c>
      <c r="AU73" s="394" t="str">
        <f>IF(AND(TRIM(AU71)="", TRIM(AU72)=""), "", SUM(AU71,AU72) )</f>
        <v/>
      </c>
      <c r="AV73" s="379"/>
      <c r="AW73" s="380"/>
      <c r="AX73" s="381"/>
      <c r="AY73" s="437" t="str">
        <f>IF(TRIM(AX73)="", "", IF(VLOOKUP(AX73,'Footnotes list'!$D$9:$E$58,2,FALSE)=0,"",VLOOKUP(AX73,'Footnotes list'!$D$9:$E$58,2,FALSE) ) )</f>
        <v/>
      </c>
    </row>
    <row r="74" spans="2:51" ht="15" customHeight="1" thickBot="1" x14ac:dyDescent="0.4">
      <c r="B74" s="540" t="s">
        <v>132</v>
      </c>
      <c r="C74" s="429"/>
      <c r="D74" s="543" t="s">
        <v>97</v>
      </c>
      <c r="E74" s="429"/>
      <c r="F74" s="420" t="s">
        <v>233</v>
      </c>
      <c r="G74" s="439"/>
      <c r="H74" s="446"/>
      <c r="I74" s="447"/>
      <c r="J74" s="448"/>
      <c r="K74" s="445"/>
      <c r="L74" s="439"/>
      <c r="M74" s="446"/>
      <c r="N74" s="447"/>
      <c r="O74" s="448"/>
      <c r="P74" s="445"/>
      <c r="Q74" s="439"/>
      <c r="R74" s="446"/>
      <c r="S74" s="447"/>
      <c r="T74" s="448"/>
      <c r="U74" s="445"/>
      <c r="V74" s="439"/>
      <c r="W74" s="446"/>
      <c r="X74" s="447"/>
      <c r="Y74" s="448"/>
      <c r="Z74" s="445"/>
      <c r="AA74" s="439"/>
      <c r="AB74" s="446"/>
      <c r="AC74" s="447"/>
      <c r="AD74" s="448"/>
      <c r="AE74" s="445"/>
      <c r="AF74" s="439"/>
      <c r="AG74" s="446"/>
      <c r="AH74" s="447"/>
      <c r="AI74" s="448"/>
      <c r="AJ74" s="445"/>
      <c r="AK74" s="439"/>
      <c r="AL74" s="446"/>
      <c r="AM74" s="447"/>
      <c r="AN74" s="448"/>
      <c r="AO74" s="445"/>
      <c r="AP74" s="439"/>
      <c r="AQ74" s="446"/>
      <c r="AR74" s="447"/>
      <c r="AS74" s="448"/>
      <c r="AT74" s="445"/>
      <c r="AU74" s="439"/>
      <c r="AV74" s="446"/>
      <c r="AW74" s="447"/>
      <c r="AX74" s="448"/>
      <c r="AY74" s="445"/>
    </row>
    <row r="75" spans="2:51" ht="15" customHeight="1" x14ac:dyDescent="0.35">
      <c r="B75" s="541"/>
      <c r="C75" s="424" t="s">
        <v>132</v>
      </c>
      <c r="D75" s="544"/>
      <c r="E75" s="425" t="s">
        <v>145</v>
      </c>
      <c r="F75" s="426" t="s">
        <v>152</v>
      </c>
      <c r="G75" s="378"/>
      <c r="H75" s="379"/>
      <c r="I75" s="380"/>
      <c r="J75" s="381"/>
      <c r="K75" s="437" t="str">
        <f>IF(TRIM(J75)="", "", IF(VLOOKUP(J75,'Footnotes list'!$D$9:$E$58,2,FALSE)=0,"",VLOOKUP(J75,'Footnotes list'!$D$9:$E$58,2,FALSE) ) )</f>
        <v/>
      </c>
      <c r="L75" s="378"/>
      <c r="M75" s="379"/>
      <c r="N75" s="380"/>
      <c r="O75" s="381"/>
      <c r="P75" s="437" t="str">
        <f>IF(TRIM(O75)="", "", IF(VLOOKUP(O75,'Footnotes list'!$D$9:$E$58,2,FALSE)=0,"",VLOOKUP(O75,'Footnotes list'!$D$9:$E$58,2,FALSE) ) )</f>
        <v/>
      </c>
      <c r="Q75" s="378"/>
      <c r="R75" s="379"/>
      <c r="S75" s="380"/>
      <c r="T75" s="381"/>
      <c r="U75" s="437" t="str">
        <f>IF(TRIM(T75)="", "", IF(VLOOKUP(T75,'Footnotes list'!$D$9:$E$58,2,FALSE)=0,"",VLOOKUP(T75,'Footnotes list'!$D$9:$E$58,2,FALSE) ) )</f>
        <v/>
      </c>
      <c r="V75" s="378"/>
      <c r="W75" s="379"/>
      <c r="X75" s="380"/>
      <c r="Y75" s="381"/>
      <c r="Z75" s="437" t="str">
        <f>IF(TRIM(Y75)="", "", IF(VLOOKUP(Y75,'Footnotes list'!$D$9:$E$58,2,FALSE)=0,"",VLOOKUP(Y75,'Footnotes list'!$D$9:$E$58,2,FALSE) ) )</f>
        <v/>
      </c>
      <c r="AA75" s="399" t="str">
        <f>IF(AND(TRIM(Q75)="",TRIM(V75)=""),"",Q75+V75)</f>
        <v/>
      </c>
      <c r="AB75" s="379"/>
      <c r="AC75" s="380"/>
      <c r="AD75" s="381"/>
      <c r="AE75" s="437" t="str">
        <f>IF(TRIM(AD75)="", "", IF(VLOOKUP(AD75,'Footnotes list'!$D$9:$E$58,2,FALSE)=0,"",VLOOKUP(AD75,'Footnotes list'!$D$9:$E$58,2,FALSE) ) )</f>
        <v/>
      </c>
      <c r="AF75" s="378"/>
      <c r="AG75" s="379"/>
      <c r="AH75" s="380"/>
      <c r="AI75" s="381"/>
      <c r="AJ75" s="437" t="str">
        <f>IF(TRIM(AI75)="", "", IF(VLOOKUP(AI75,'Footnotes list'!$D$9:$E$58,2,FALSE)=0,"",VLOOKUP(AI75,'Footnotes list'!$D$9:$E$58,2,FALSE) ) )</f>
        <v/>
      </c>
      <c r="AK75" s="378"/>
      <c r="AL75" s="379"/>
      <c r="AM75" s="380"/>
      <c r="AN75" s="381"/>
      <c r="AO75" s="437" t="str">
        <f>IF(TRIM(AN75)="", "", IF(VLOOKUP(AN75,'Footnotes list'!$D$9:$E$58,2,FALSE)=0,"",VLOOKUP(AN75,'Footnotes list'!$D$9:$E$58,2,FALSE) ) )</f>
        <v/>
      </c>
      <c r="AP75" s="399" t="str">
        <f>IF(AND(TRIM(AF75)="",TRIM(AK75)=""),"",AF75+AK75)</f>
        <v/>
      </c>
      <c r="AQ75" s="379"/>
      <c r="AR75" s="380"/>
      <c r="AS75" s="381"/>
      <c r="AT75" s="437" t="str">
        <f>IF(TRIM(AS75)="", "", IF(VLOOKUP(AS75,'Footnotes list'!$D$9:$E$58,2,FALSE)=0,"",VLOOKUP(AS75,'Footnotes list'!$D$9:$E$58,2,FALSE) ) )</f>
        <v/>
      </c>
      <c r="AU75" s="438" t="str">
        <f>IF(AND(TRIM(G75)="",TRIM(L75)="",TRIM(AA75)="",TRIM(AP75)=""),"",SUM(G75,L75,AA75,AP75))</f>
        <v/>
      </c>
      <c r="AV75" s="379"/>
      <c r="AW75" s="380"/>
      <c r="AX75" s="381"/>
      <c r="AY75" s="437" t="str">
        <f>IF(TRIM(AX75)="", "", IF(VLOOKUP(AX75,'Footnotes list'!$D$9:$E$58,2,FALSE)=0,"",VLOOKUP(AX75,'Footnotes list'!$D$9:$E$58,2,FALSE) ) )</f>
        <v/>
      </c>
    </row>
    <row r="76" spans="2:51" ht="15" customHeight="1" thickBot="1" x14ac:dyDescent="0.4">
      <c r="B76" s="542"/>
      <c r="C76" s="427" t="s">
        <v>132</v>
      </c>
      <c r="D76" s="545"/>
      <c r="E76" s="422" t="s">
        <v>146</v>
      </c>
      <c r="F76" s="428" t="s">
        <v>234</v>
      </c>
      <c r="G76" s="394" t="str">
        <f>IF(AND(TRIM(G74)="",TRIM(G75)=""),"",G74+G75)</f>
        <v/>
      </c>
      <c r="H76" s="379"/>
      <c r="I76" s="380"/>
      <c r="J76" s="381"/>
      <c r="K76" s="437" t="str">
        <f>IF(TRIM(J76)="", "", IF(VLOOKUP(J76,'Footnotes list'!$D$9:$E$58,2,FALSE)=0,"",VLOOKUP(J76,'Footnotes list'!$D$9:$E$58,2,FALSE) ) )</f>
        <v/>
      </c>
      <c r="L76" s="394" t="str">
        <f>IF(AND(TRIM(L74)="",TRIM(L75)=""),"",L74+L75)</f>
        <v/>
      </c>
      <c r="M76" s="379"/>
      <c r="N76" s="380"/>
      <c r="O76" s="381"/>
      <c r="P76" s="437" t="str">
        <f>IF(TRIM(O76)="", "", IF(VLOOKUP(O76,'Footnotes list'!$D$9:$E$58,2,FALSE)=0,"",VLOOKUP(O76,'Footnotes list'!$D$9:$E$58,2,FALSE) ) )</f>
        <v/>
      </c>
      <c r="Q76" s="394" t="str">
        <f>IF(AND(TRIM(Q74)="",TRIM(Q75)=""),"",Q74+Q75)</f>
        <v/>
      </c>
      <c r="R76" s="379"/>
      <c r="S76" s="380"/>
      <c r="T76" s="381"/>
      <c r="U76" s="437" t="str">
        <f>IF(TRIM(T76)="", "", IF(VLOOKUP(T76,'Footnotes list'!$D$9:$E$58,2,FALSE)=0,"",VLOOKUP(T76,'Footnotes list'!$D$9:$E$58,2,FALSE) ) )</f>
        <v/>
      </c>
      <c r="V76" s="394" t="str">
        <f>IF(AND(TRIM(V74)="",TRIM(V75)=""),"",V74+V75)</f>
        <v/>
      </c>
      <c r="W76" s="379"/>
      <c r="X76" s="380"/>
      <c r="Y76" s="381"/>
      <c r="Z76" s="437" t="str">
        <f>IF(TRIM(Y76)="", "", IF(VLOOKUP(Y76,'Footnotes list'!$D$9:$E$58,2,FALSE)=0,"",VLOOKUP(Y76,'Footnotes list'!$D$9:$E$58,2,FALSE) ) )</f>
        <v/>
      </c>
      <c r="AA76" s="394" t="str">
        <f>IF(AND(TRIM(AA74)="", TRIM(AA75)=""), "", SUM(AA74,AA75))</f>
        <v/>
      </c>
      <c r="AB76" s="379"/>
      <c r="AC76" s="380"/>
      <c r="AD76" s="381"/>
      <c r="AE76" s="437" t="str">
        <f>IF(TRIM(AD76)="", "", IF(VLOOKUP(AD76,'Footnotes list'!$D$9:$E$58,2,FALSE)=0,"",VLOOKUP(AD76,'Footnotes list'!$D$9:$E$58,2,FALSE) ) )</f>
        <v/>
      </c>
      <c r="AF76" s="394" t="str">
        <f>IF(AND(TRIM(AF74)="",TRIM(AF75)=""),"",AF74+AF75)</f>
        <v/>
      </c>
      <c r="AG76" s="379"/>
      <c r="AH76" s="380"/>
      <c r="AI76" s="381"/>
      <c r="AJ76" s="437" t="str">
        <f>IF(TRIM(AI76)="", "", IF(VLOOKUP(AI76,'Footnotes list'!$D$9:$E$58,2,FALSE)=0,"",VLOOKUP(AI76,'Footnotes list'!$D$9:$E$58,2,FALSE) ) )</f>
        <v/>
      </c>
      <c r="AK76" s="394" t="str">
        <f>IF(AND(TRIM(AK74)="",TRIM(AK75)=""),"",AK74+AK75)</f>
        <v/>
      </c>
      <c r="AL76" s="379"/>
      <c r="AM76" s="380"/>
      <c r="AN76" s="381"/>
      <c r="AO76" s="437" t="str">
        <f>IF(TRIM(AN76)="", "", IF(VLOOKUP(AN76,'Footnotes list'!$D$9:$E$58,2,FALSE)=0,"",VLOOKUP(AN76,'Footnotes list'!$D$9:$E$58,2,FALSE) ) )</f>
        <v/>
      </c>
      <c r="AP76" s="394" t="str">
        <f>IF(AND(TRIM(AP74)="", TRIM(AP75)=""), "", SUM(AP74,AP75))</f>
        <v/>
      </c>
      <c r="AQ76" s="379"/>
      <c r="AR76" s="380"/>
      <c r="AS76" s="381"/>
      <c r="AT76" s="437" t="str">
        <f>IF(TRIM(AS76)="", "", IF(VLOOKUP(AS76,'Footnotes list'!$D$9:$E$58,2,FALSE)=0,"",VLOOKUP(AS76,'Footnotes list'!$D$9:$E$58,2,FALSE) ) )</f>
        <v/>
      </c>
      <c r="AU76" s="394" t="str">
        <f>IF(AND(TRIM(AU74)="", TRIM(AU75)=""), "", SUM(AU74,AU75) )</f>
        <v/>
      </c>
      <c r="AV76" s="379"/>
      <c r="AW76" s="380"/>
      <c r="AX76" s="381"/>
      <c r="AY76" s="437" t="str">
        <f>IF(TRIM(AX76)="", "", IF(VLOOKUP(AX76,'Footnotes list'!$D$9:$E$58,2,FALSE)=0,"",VLOOKUP(AX76,'Footnotes list'!$D$9:$E$58,2,FALSE) ) )</f>
        <v/>
      </c>
    </row>
    <row r="77" spans="2:51" ht="15" customHeight="1" thickBot="1" x14ac:dyDescent="0.4">
      <c r="B77" s="540" t="s">
        <v>133</v>
      </c>
      <c r="C77" s="429"/>
      <c r="D77" s="543" t="s">
        <v>98</v>
      </c>
      <c r="E77" s="429"/>
      <c r="F77" s="420" t="s">
        <v>233</v>
      </c>
      <c r="G77" s="439"/>
      <c r="H77" s="446"/>
      <c r="I77" s="447"/>
      <c r="J77" s="448"/>
      <c r="K77" s="445"/>
      <c r="L77" s="439"/>
      <c r="M77" s="446"/>
      <c r="N77" s="447"/>
      <c r="O77" s="448"/>
      <c r="P77" s="445"/>
      <c r="Q77" s="439"/>
      <c r="R77" s="446"/>
      <c r="S77" s="447"/>
      <c r="T77" s="448"/>
      <c r="U77" s="445"/>
      <c r="V77" s="439"/>
      <c r="W77" s="446"/>
      <c r="X77" s="447"/>
      <c r="Y77" s="448"/>
      <c r="Z77" s="445"/>
      <c r="AA77" s="439"/>
      <c r="AB77" s="446"/>
      <c r="AC77" s="447"/>
      <c r="AD77" s="448"/>
      <c r="AE77" s="445"/>
      <c r="AF77" s="439"/>
      <c r="AG77" s="446"/>
      <c r="AH77" s="447"/>
      <c r="AI77" s="448"/>
      <c r="AJ77" s="445"/>
      <c r="AK77" s="439"/>
      <c r="AL77" s="446"/>
      <c r="AM77" s="447"/>
      <c r="AN77" s="448"/>
      <c r="AO77" s="445"/>
      <c r="AP77" s="439"/>
      <c r="AQ77" s="446"/>
      <c r="AR77" s="447"/>
      <c r="AS77" s="448"/>
      <c r="AT77" s="445"/>
      <c r="AU77" s="439"/>
      <c r="AV77" s="446"/>
      <c r="AW77" s="447"/>
      <c r="AX77" s="448"/>
      <c r="AY77" s="445"/>
    </row>
    <row r="78" spans="2:51" ht="15" customHeight="1" x14ac:dyDescent="0.35">
      <c r="B78" s="541"/>
      <c r="C78" s="424" t="s">
        <v>133</v>
      </c>
      <c r="D78" s="544"/>
      <c r="E78" s="425" t="s">
        <v>145</v>
      </c>
      <c r="F78" s="426" t="s">
        <v>152</v>
      </c>
      <c r="G78" s="378"/>
      <c r="H78" s="379"/>
      <c r="I78" s="380"/>
      <c r="J78" s="381"/>
      <c r="K78" s="437" t="str">
        <f>IF(TRIM(J78)="", "", IF(VLOOKUP(J78,'Footnotes list'!$D$9:$E$58,2,FALSE)=0,"",VLOOKUP(J78,'Footnotes list'!$D$9:$E$58,2,FALSE) ) )</f>
        <v/>
      </c>
      <c r="L78" s="378"/>
      <c r="M78" s="379"/>
      <c r="N78" s="380"/>
      <c r="O78" s="381"/>
      <c r="P78" s="437" t="str">
        <f>IF(TRIM(O78)="", "", IF(VLOOKUP(O78,'Footnotes list'!$D$9:$E$58,2,FALSE)=0,"",VLOOKUP(O78,'Footnotes list'!$D$9:$E$58,2,FALSE) ) )</f>
        <v/>
      </c>
      <c r="Q78" s="378"/>
      <c r="R78" s="379"/>
      <c r="S78" s="380"/>
      <c r="T78" s="381"/>
      <c r="U78" s="437" t="str">
        <f>IF(TRIM(T78)="", "", IF(VLOOKUP(T78,'Footnotes list'!$D$9:$E$58,2,FALSE)=0,"",VLOOKUP(T78,'Footnotes list'!$D$9:$E$58,2,FALSE) ) )</f>
        <v/>
      </c>
      <c r="V78" s="378"/>
      <c r="W78" s="379"/>
      <c r="X78" s="380"/>
      <c r="Y78" s="381"/>
      <c r="Z78" s="437" t="str">
        <f>IF(TRIM(Y78)="", "", IF(VLOOKUP(Y78,'Footnotes list'!$D$9:$E$58,2,FALSE)=0,"",VLOOKUP(Y78,'Footnotes list'!$D$9:$E$58,2,FALSE) ) )</f>
        <v/>
      </c>
      <c r="AA78" s="399" t="str">
        <f>IF(AND(TRIM(Q78)="",TRIM(V78)=""),"",Q78+V78)</f>
        <v/>
      </c>
      <c r="AB78" s="379"/>
      <c r="AC78" s="380"/>
      <c r="AD78" s="381"/>
      <c r="AE78" s="437" t="str">
        <f>IF(TRIM(AD78)="", "", IF(VLOOKUP(AD78,'Footnotes list'!$D$9:$E$58,2,FALSE)=0,"",VLOOKUP(AD78,'Footnotes list'!$D$9:$E$58,2,FALSE) ) )</f>
        <v/>
      </c>
      <c r="AF78" s="378"/>
      <c r="AG78" s="379"/>
      <c r="AH78" s="380"/>
      <c r="AI78" s="381"/>
      <c r="AJ78" s="437" t="str">
        <f>IF(TRIM(AI78)="", "", IF(VLOOKUP(AI78,'Footnotes list'!$D$9:$E$58,2,FALSE)=0,"",VLOOKUP(AI78,'Footnotes list'!$D$9:$E$58,2,FALSE) ) )</f>
        <v/>
      </c>
      <c r="AK78" s="378"/>
      <c r="AL78" s="379"/>
      <c r="AM78" s="380"/>
      <c r="AN78" s="381"/>
      <c r="AO78" s="437" t="str">
        <f>IF(TRIM(AN78)="", "", IF(VLOOKUP(AN78,'Footnotes list'!$D$9:$E$58,2,FALSE)=0,"",VLOOKUP(AN78,'Footnotes list'!$D$9:$E$58,2,FALSE) ) )</f>
        <v/>
      </c>
      <c r="AP78" s="399" t="str">
        <f>IF(AND(TRIM(AF78)="",TRIM(AK78)=""),"",AF78+AK78)</f>
        <v/>
      </c>
      <c r="AQ78" s="379"/>
      <c r="AR78" s="380"/>
      <c r="AS78" s="381"/>
      <c r="AT78" s="437" t="str">
        <f>IF(TRIM(AS78)="", "", IF(VLOOKUP(AS78,'Footnotes list'!$D$9:$E$58,2,FALSE)=0,"",VLOOKUP(AS78,'Footnotes list'!$D$9:$E$58,2,FALSE) ) )</f>
        <v/>
      </c>
      <c r="AU78" s="438" t="str">
        <f>IF(AND(TRIM(G78)="",TRIM(L78)="",TRIM(AA78)="",TRIM(AP78)=""),"",SUM(G78,L78,AA78,AP78))</f>
        <v/>
      </c>
      <c r="AV78" s="379"/>
      <c r="AW78" s="380"/>
      <c r="AX78" s="381"/>
      <c r="AY78" s="437" t="str">
        <f>IF(TRIM(AX78)="", "", IF(VLOOKUP(AX78,'Footnotes list'!$D$9:$E$58,2,FALSE)=0,"",VLOOKUP(AX78,'Footnotes list'!$D$9:$E$58,2,FALSE) ) )</f>
        <v/>
      </c>
    </row>
    <row r="79" spans="2:51" ht="15" customHeight="1" thickBot="1" x14ac:dyDescent="0.4">
      <c r="B79" s="542"/>
      <c r="C79" s="427" t="s">
        <v>133</v>
      </c>
      <c r="D79" s="545"/>
      <c r="E79" s="422" t="s">
        <v>146</v>
      </c>
      <c r="F79" s="428" t="s">
        <v>234</v>
      </c>
      <c r="G79" s="394" t="str">
        <f>IF(AND(TRIM(G77)="",TRIM(G78)=""),"",G77+G78)</f>
        <v/>
      </c>
      <c r="H79" s="379"/>
      <c r="I79" s="380"/>
      <c r="J79" s="381"/>
      <c r="K79" s="437" t="str">
        <f>IF(TRIM(J79)="", "", IF(VLOOKUP(J79,'Footnotes list'!$D$9:$E$58,2,FALSE)=0,"",VLOOKUP(J79,'Footnotes list'!$D$9:$E$58,2,FALSE) ) )</f>
        <v/>
      </c>
      <c r="L79" s="394" t="str">
        <f>IF(AND(TRIM(L77)="",TRIM(L78)=""),"",L77+L78)</f>
        <v/>
      </c>
      <c r="M79" s="379"/>
      <c r="N79" s="380"/>
      <c r="O79" s="381"/>
      <c r="P79" s="437" t="str">
        <f>IF(TRIM(O79)="", "", IF(VLOOKUP(O79,'Footnotes list'!$D$9:$E$58,2,FALSE)=0,"",VLOOKUP(O79,'Footnotes list'!$D$9:$E$58,2,FALSE) ) )</f>
        <v/>
      </c>
      <c r="Q79" s="394" t="str">
        <f>IF(AND(TRIM(Q77)="",TRIM(Q78)=""),"",Q77+Q78)</f>
        <v/>
      </c>
      <c r="R79" s="379"/>
      <c r="S79" s="380"/>
      <c r="T79" s="381"/>
      <c r="U79" s="437" t="str">
        <f>IF(TRIM(T79)="", "", IF(VLOOKUP(T79,'Footnotes list'!$D$9:$E$58,2,FALSE)=0,"",VLOOKUP(T79,'Footnotes list'!$D$9:$E$58,2,FALSE) ) )</f>
        <v/>
      </c>
      <c r="V79" s="394" t="str">
        <f>IF(AND(TRIM(V77)="",TRIM(V78)=""),"",V77+V78)</f>
        <v/>
      </c>
      <c r="W79" s="379"/>
      <c r="X79" s="380"/>
      <c r="Y79" s="381"/>
      <c r="Z79" s="437" t="str">
        <f>IF(TRIM(Y79)="", "", IF(VLOOKUP(Y79,'Footnotes list'!$D$9:$E$58,2,FALSE)=0,"",VLOOKUP(Y79,'Footnotes list'!$D$9:$E$58,2,FALSE) ) )</f>
        <v/>
      </c>
      <c r="AA79" s="394" t="str">
        <f>IF(AND(TRIM(AA77)="", TRIM(AA78)=""), "", SUM(AA77,AA78))</f>
        <v/>
      </c>
      <c r="AB79" s="379"/>
      <c r="AC79" s="380"/>
      <c r="AD79" s="381"/>
      <c r="AE79" s="437" t="str">
        <f>IF(TRIM(AD79)="", "", IF(VLOOKUP(AD79,'Footnotes list'!$D$9:$E$58,2,FALSE)=0,"",VLOOKUP(AD79,'Footnotes list'!$D$9:$E$58,2,FALSE) ) )</f>
        <v/>
      </c>
      <c r="AF79" s="394" t="str">
        <f>IF(AND(TRIM(AF77)="",TRIM(AF78)=""),"",AF77+AF78)</f>
        <v/>
      </c>
      <c r="AG79" s="379"/>
      <c r="AH79" s="380"/>
      <c r="AI79" s="381"/>
      <c r="AJ79" s="437" t="str">
        <f>IF(TRIM(AI79)="", "", IF(VLOOKUP(AI79,'Footnotes list'!$D$9:$E$58,2,FALSE)=0,"",VLOOKUP(AI79,'Footnotes list'!$D$9:$E$58,2,FALSE) ) )</f>
        <v/>
      </c>
      <c r="AK79" s="394" t="str">
        <f>IF(AND(TRIM(AK77)="",TRIM(AK78)=""),"",AK77+AK78)</f>
        <v/>
      </c>
      <c r="AL79" s="379"/>
      <c r="AM79" s="380"/>
      <c r="AN79" s="381"/>
      <c r="AO79" s="437" t="str">
        <f>IF(TRIM(AN79)="", "", IF(VLOOKUP(AN79,'Footnotes list'!$D$9:$E$58,2,FALSE)=0,"",VLOOKUP(AN79,'Footnotes list'!$D$9:$E$58,2,FALSE) ) )</f>
        <v/>
      </c>
      <c r="AP79" s="394" t="str">
        <f>IF(AND(TRIM(AP77)="", TRIM(AP78)=""), "", SUM(AP77,AP78))</f>
        <v/>
      </c>
      <c r="AQ79" s="379"/>
      <c r="AR79" s="380"/>
      <c r="AS79" s="381"/>
      <c r="AT79" s="437" t="str">
        <f>IF(TRIM(AS79)="", "", IF(VLOOKUP(AS79,'Footnotes list'!$D$9:$E$58,2,FALSE)=0,"",VLOOKUP(AS79,'Footnotes list'!$D$9:$E$58,2,FALSE) ) )</f>
        <v/>
      </c>
      <c r="AU79" s="394" t="str">
        <f>IF(AND(TRIM(AU77)="", TRIM(AU78)=""), "", SUM(AU77,AU78) )</f>
        <v/>
      </c>
      <c r="AV79" s="379"/>
      <c r="AW79" s="380"/>
      <c r="AX79" s="381"/>
      <c r="AY79" s="437" t="str">
        <f>IF(TRIM(AX79)="", "", IF(VLOOKUP(AX79,'Footnotes list'!$D$9:$E$58,2,FALSE)=0,"",VLOOKUP(AX79,'Footnotes list'!$D$9:$E$58,2,FALSE) ) )</f>
        <v/>
      </c>
    </row>
    <row r="80" spans="2:51" ht="15" customHeight="1" x14ac:dyDescent="0.35">
      <c r="B80" s="540" t="s">
        <v>134</v>
      </c>
      <c r="C80" s="416" t="s">
        <v>134</v>
      </c>
      <c r="D80" s="543" t="s">
        <v>99</v>
      </c>
      <c r="E80" s="417" t="s">
        <v>144</v>
      </c>
      <c r="F80" s="418" t="s">
        <v>151</v>
      </c>
      <c r="G80" s="372"/>
      <c r="H80" s="373"/>
      <c r="I80" s="374"/>
      <c r="J80" s="375"/>
      <c r="K80" s="433" t="str">
        <f>IF(TRIM(J80)="", "", IF(VLOOKUP(J80,'Footnotes list'!$D$9:$E$58,2,FALSE)=0,"",VLOOKUP(J80,'Footnotes list'!$D$9:$E$58,2,FALSE) ) )</f>
        <v/>
      </c>
      <c r="L80" s="372"/>
      <c r="M80" s="373"/>
      <c r="N80" s="374"/>
      <c r="O80" s="375"/>
      <c r="P80" s="433" t="str">
        <f>IF(TRIM(O80)="", "", IF(VLOOKUP(O80,'Footnotes list'!$D$9:$E$58,2,FALSE)=0,"",VLOOKUP(O80,'Footnotes list'!$D$9:$E$58,2,FALSE) ) )</f>
        <v/>
      </c>
      <c r="Q80" s="372"/>
      <c r="R80" s="373"/>
      <c r="S80" s="374"/>
      <c r="T80" s="375"/>
      <c r="U80" s="433" t="str">
        <f>IF(TRIM(T80)="", "", IF(VLOOKUP(T80,'Footnotes list'!$D$9:$E$58,2,FALSE)=0,"",VLOOKUP(T80,'Footnotes list'!$D$9:$E$58,2,FALSE) ) )</f>
        <v/>
      </c>
      <c r="V80" s="372"/>
      <c r="W80" s="373"/>
      <c r="X80" s="374"/>
      <c r="Y80" s="375"/>
      <c r="Z80" s="433" t="str">
        <f>IF(TRIM(Y80)="", "", IF(VLOOKUP(Y80,'Footnotes list'!$D$9:$E$58,2,FALSE)=0,"",VLOOKUP(Y80,'Footnotes list'!$D$9:$E$58,2,FALSE) ) )</f>
        <v/>
      </c>
      <c r="AA80" s="400" t="str">
        <f>IF(AND(TRIM(Q80)="",TRIM(V80)=""),"",Q80+V80)</f>
        <v/>
      </c>
      <c r="AB80" s="373"/>
      <c r="AC80" s="374"/>
      <c r="AD80" s="375"/>
      <c r="AE80" s="433" t="str">
        <f>IF(TRIM(AD80)="", "", IF(VLOOKUP(AD80,'Footnotes list'!$D$9:$E$58,2,FALSE)=0,"",VLOOKUP(AD80,'Footnotes list'!$D$9:$E$58,2,FALSE) ) )</f>
        <v/>
      </c>
      <c r="AF80" s="372"/>
      <c r="AG80" s="373"/>
      <c r="AH80" s="374"/>
      <c r="AI80" s="375"/>
      <c r="AJ80" s="433" t="str">
        <f>IF(TRIM(AI80)="", "", IF(VLOOKUP(AI80,'Footnotes list'!$D$9:$E$58,2,FALSE)=0,"",VLOOKUP(AI80,'Footnotes list'!$D$9:$E$58,2,FALSE) ) )</f>
        <v/>
      </c>
      <c r="AK80" s="372"/>
      <c r="AL80" s="373"/>
      <c r="AM80" s="374"/>
      <c r="AN80" s="375"/>
      <c r="AO80" s="433" t="str">
        <f>IF(TRIM(AN80)="", "", IF(VLOOKUP(AN80,'Footnotes list'!$D$9:$E$58,2,FALSE)=0,"",VLOOKUP(AN80,'Footnotes list'!$D$9:$E$58,2,FALSE) ) )</f>
        <v/>
      </c>
      <c r="AP80" s="400" t="str">
        <f>IF(AND(TRIM(AF80)="",TRIM(AK80)=""),"",AF80+AK80)</f>
        <v/>
      </c>
      <c r="AQ80" s="373"/>
      <c r="AR80" s="374"/>
      <c r="AS80" s="375"/>
      <c r="AT80" s="433" t="str">
        <f>IF(TRIM(AS80)="", "", IF(VLOOKUP(AS80,'Footnotes list'!$D$9:$E$58,2,FALSE)=0,"",VLOOKUP(AS80,'Footnotes list'!$D$9:$E$58,2,FALSE) ) )</f>
        <v/>
      </c>
      <c r="AU80" s="400" t="str">
        <f>IF(AND(TRIM(G80)="",TRIM(L80)="",TRIM(AA80)="",TRIM(AP80)=""),"",SUM(G80,L80,AA80,AP80))</f>
        <v/>
      </c>
      <c r="AV80" s="373"/>
      <c r="AW80" s="374"/>
      <c r="AX80" s="375"/>
      <c r="AY80" s="433" t="str">
        <f>IF(TRIM(AX80)="", "", IF(VLOOKUP(AX80,'Footnotes list'!$D$9:$E$58,2,FALSE)=0,"",VLOOKUP(AX80,'Footnotes list'!$D$9:$E$58,2,FALSE) ) )</f>
        <v/>
      </c>
    </row>
    <row r="81" spans="2:51" ht="15" customHeight="1" x14ac:dyDescent="0.35">
      <c r="B81" s="541"/>
      <c r="C81" s="424" t="s">
        <v>134</v>
      </c>
      <c r="D81" s="544"/>
      <c r="E81" s="425" t="s">
        <v>145</v>
      </c>
      <c r="F81" s="426" t="s">
        <v>152</v>
      </c>
      <c r="G81" s="378"/>
      <c r="H81" s="379"/>
      <c r="I81" s="380"/>
      <c r="J81" s="381"/>
      <c r="K81" s="437" t="str">
        <f>IF(TRIM(J81)="", "", IF(VLOOKUP(J81,'Footnotes list'!$D$9:$E$58,2,FALSE)=0,"",VLOOKUP(J81,'Footnotes list'!$D$9:$E$58,2,FALSE) ) )</f>
        <v/>
      </c>
      <c r="L81" s="378"/>
      <c r="M81" s="379"/>
      <c r="N81" s="380"/>
      <c r="O81" s="381"/>
      <c r="P81" s="437" t="str">
        <f>IF(TRIM(O81)="", "", IF(VLOOKUP(O81,'Footnotes list'!$D$9:$E$58,2,FALSE)=0,"",VLOOKUP(O81,'Footnotes list'!$D$9:$E$58,2,FALSE) ) )</f>
        <v/>
      </c>
      <c r="Q81" s="378"/>
      <c r="R81" s="379"/>
      <c r="S81" s="380"/>
      <c r="T81" s="381"/>
      <c r="U81" s="437" t="str">
        <f>IF(TRIM(T81)="", "", IF(VLOOKUP(T81,'Footnotes list'!$D$9:$E$58,2,FALSE)=0,"",VLOOKUP(T81,'Footnotes list'!$D$9:$E$58,2,FALSE) ) )</f>
        <v/>
      </c>
      <c r="V81" s="378"/>
      <c r="W81" s="379"/>
      <c r="X81" s="380"/>
      <c r="Y81" s="381"/>
      <c r="Z81" s="437" t="str">
        <f>IF(TRIM(Y81)="", "", IF(VLOOKUP(Y81,'Footnotes list'!$D$9:$E$58,2,FALSE)=0,"",VLOOKUP(Y81,'Footnotes list'!$D$9:$E$58,2,FALSE) ) )</f>
        <v/>
      </c>
      <c r="AA81" s="399" t="str">
        <f>IF(AND(TRIM(Q81)="",TRIM(V81)=""),"",Q81+V81)</f>
        <v/>
      </c>
      <c r="AB81" s="379"/>
      <c r="AC81" s="380"/>
      <c r="AD81" s="381"/>
      <c r="AE81" s="437" t="str">
        <f>IF(TRIM(AD81)="", "", IF(VLOOKUP(AD81,'Footnotes list'!$D$9:$E$58,2,FALSE)=0,"",VLOOKUP(AD81,'Footnotes list'!$D$9:$E$58,2,FALSE) ) )</f>
        <v/>
      </c>
      <c r="AF81" s="378"/>
      <c r="AG81" s="379"/>
      <c r="AH81" s="380"/>
      <c r="AI81" s="381"/>
      <c r="AJ81" s="437" t="str">
        <f>IF(TRIM(AI81)="", "", IF(VLOOKUP(AI81,'Footnotes list'!$D$9:$E$58,2,FALSE)=0,"",VLOOKUP(AI81,'Footnotes list'!$D$9:$E$58,2,FALSE) ) )</f>
        <v/>
      </c>
      <c r="AK81" s="378"/>
      <c r="AL81" s="379"/>
      <c r="AM81" s="380"/>
      <c r="AN81" s="381"/>
      <c r="AO81" s="437" t="str">
        <f>IF(TRIM(AN81)="", "", IF(VLOOKUP(AN81,'Footnotes list'!$D$9:$E$58,2,FALSE)=0,"",VLOOKUP(AN81,'Footnotes list'!$D$9:$E$58,2,FALSE) ) )</f>
        <v/>
      </c>
      <c r="AP81" s="399" t="str">
        <f>IF(AND(TRIM(AF81)="",TRIM(AK81)=""),"",AF81+AK81)</f>
        <v/>
      </c>
      <c r="AQ81" s="379"/>
      <c r="AR81" s="380"/>
      <c r="AS81" s="381"/>
      <c r="AT81" s="437" t="str">
        <f>IF(TRIM(AS81)="", "", IF(VLOOKUP(AS81,'Footnotes list'!$D$9:$E$58,2,FALSE)=0,"",VLOOKUP(AS81,'Footnotes list'!$D$9:$E$58,2,FALSE) ) )</f>
        <v/>
      </c>
      <c r="AU81" s="438" t="str">
        <f>IF(AND(TRIM(G81)="",TRIM(L81)="",TRIM(AA81)="",TRIM(AP81)=""),"",SUM(G81,L81,AA81,AP81))</f>
        <v/>
      </c>
      <c r="AV81" s="379"/>
      <c r="AW81" s="380"/>
      <c r="AX81" s="381"/>
      <c r="AY81" s="437" t="str">
        <f>IF(TRIM(AX81)="", "", IF(VLOOKUP(AX81,'Footnotes list'!$D$9:$E$58,2,FALSE)=0,"",VLOOKUP(AX81,'Footnotes list'!$D$9:$E$58,2,FALSE) ) )</f>
        <v/>
      </c>
    </row>
    <row r="82" spans="2:51" ht="15" customHeight="1" thickBot="1" x14ac:dyDescent="0.4">
      <c r="B82" s="542"/>
      <c r="C82" s="427" t="s">
        <v>134</v>
      </c>
      <c r="D82" s="545"/>
      <c r="E82" s="422" t="s">
        <v>146</v>
      </c>
      <c r="F82" s="428" t="s">
        <v>234</v>
      </c>
      <c r="G82" s="394" t="str">
        <f>IF(AND(TRIM(G80)="",TRIM(G81)=""),"",G80+G81)</f>
        <v/>
      </c>
      <c r="H82" s="379"/>
      <c r="I82" s="380"/>
      <c r="J82" s="381"/>
      <c r="K82" s="437" t="str">
        <f>IF(TRIM(J82)="", "", IF(VLOOKUP(J82,'Footnotes list'!$D$9:$E$58,2,FALSE)=0,"",VLOOKUP(J82,'Footnotes list'!$D$9:$E$58,2,FALSE) ) )</f>
        <v/>
      </c>
      <c r="L82" s="394" t="str">
        <f>IF(AND(TRIM(L80)="",TRIM(L81)=""),"",L80+L81)</f>
        <v/>
      </c>
      <c r="M82" s="379"/>
      <c r="N82" s="380"/>
      <c r="O82" s="381"/>
      <c r="P82" s="437" t="str">
        <f>IF(TRIM(O82)="", "", IF(VLOOKUP(O82,'Footnotes list'!$D$9:$E$58,2,FALSE)=0,"",VLOOKUP(O82,'Footnotes list'!$D$9:$E$58,2,FALSE) ) )</f>
        <v/>
      </c>
      <c r="Q82" s="394" t="str">
        <f>IF(AND(TRIM(Q80)="",TRIM(Q81)=""),"",Q80+Q81)</f>
        <v/>
      </c>
      <c r="R82" s="379"/>
      <c r="S82" s="380"/>
      <c r="T82" s="381"/>
      <c r="U82" s="437" t="str">
        <f>IF(TRIM(T82)="", "", IF(VLOOKUP(T82,'Footnotes list'!$D$9:$E$58,2,FALSE)=0,"",VLOOKUP(T82,'Footnotes list'!$D$9:$E$58,2,FALSE) ) )</f>
        <v/>
      </c>
      <c r="V82" s="394" t="str">
        <f>IF(AND(TRIM(V80)="",TRIM(V81)=""),"",V80+V81)</f>
        <v/>
      </c>
      <c r="W82" s="379"/>
      <c r="X82" s="380"/>
      <c r="Y82" s="381"/>
      <c r="Z82" s="437" t="str">
        <f>IF(TRIM(Y82)="", "", IF(VLOOKUP(Y82,'Footnotes list'!$D$9:$E$58,2,FALSE)=0,"",VLOOKUP(Y82,'Footnotes list'!$D$9:$E$58,2,FALSE) ) )</f>
        <v/>
      </c>
      <c r="AA82" s="394" t="str">
        <f>IF(AND(TRIM(AA80)="", TRIM(AA81)=""), "", SUM(AA80,AA81))</f>
        <v/>
      </c>
      <c r="AB82" s="379"/>
      <c r="AC82" s="380"/>
      <c r="AD82" s="381"/>
      <c r="AE82" s="437" t="str">
        <f>IF(TRIM(AD82)="", "", IF(VLOOKUP(AD82,'Footnotes list'!$D$9:$E$58,2,FALSE)=0,"",VLOOKUP(AD82,'Footnotes list'!$D$9:$E$58,2,FALSE) ) )</f>
        <v/>
      </c>
      <c r="AF82" s="394" t="str">
        <f>IF(AND(TRIM(AF80)="",TRIM(AF81)=""),"",AF80+AF81)</f>
        <v/>
      </c>
      <c r="AG82" s="379"/>
      <c r="AH82" s="380"/>
      <c r="AI82" s="381"/>
      <c r="AJ82" s="437" t="str">
        <f>IF(TRIM(AI82)="", "", IF(VLOOKUP(AI82,'Footnotes list'!$D$9:$E$58,2,FALSE)=0,"",VLOOKUP(AI82,'Footnotes list'!$D$9:$E$58,2,FALSE) ) )</f>
        <v/>
      </c>
      <c r="AK82" s="394" t="str">
        <f>IF(AND(TRIM(AK80)="",TRIM(AK81)=""),"",AK80+AK81)</f>
        <v/>
      </c>
      <c r="AL82" s="379"/>
      <c r="AM82" s="380"/>
      <c r="AN82" s="381"/>
      <c r="AO82" s="437" t="str">
        <f>IF(TRIM(AN82)="", "", IF(VLOOKUP(AN82,'Footnotes list'!$D$9:$E$58,2,FALSE)=0,"",VLOOKUP(AN82,'Footnotes list'!$D$9:$E$58,2,FALSE) ) )</f>
        <v/>
      </c>
      <c r="AP82" s="394" t="str">
        <f>IF(AND(TRIM(AP80)="", TRIM(AP81)=""), "", SUM(AP80,AP81))</f>
        <v/>
      </c>
      <c r="AQ82" s="379"/>
      <c r="AR82" s="380"/>
      <c r="AS82" s="381"/>
      <c r="AT82" s="437" t="str">
        <f>IF(TRIM(AS82)="", "", IF(VLOOKUP(AS82,'Footnotes list'!$D$9:$E$58,2,FALSE)=0,"",VLOOKUP(AS82,'Footnotes list'!$D$9:$E$58,2,FALSE) ) )</f>
        <v/>
      </c>
      <c r="AU82" s="394" t="str">
        <f>IF(AND(TRIM(AU80)="", TRIM(AU81)=""), "", SUM(AU80,AU81) )</f>
        <v/>
      </c>
      <c r="AV82" s="379"/>
      <c r="AW82" s="380"/>
      <c r="AX82" s="381"/>
      <c r="AY82" s="437" t="str">
        <f>IF(TRIM(AX82)="", "", IF(VLOOKUP(AX82,'Footnotes list'!$D$9:$E$58,2,FALSE)=0,"",VLOOKUP(AX82,'Footnotes list'!$D$9:$E$58,2,FALSE) ) )</f>
        <v/>
      </c>
    </row>
    <row r="83" spans="2:51" ht="15" customHeight="1" x14ac:dyDescent="0.35">
      <c r="B83" s="540" t="s">
        <v>135</v>
      </c>
      <c r="C83" s="416" t="s">
        <v>135</v>
      </c>
      <c r="D83" s="543" t="s">
        <v>100</v>
      </c>
      <c r="E83" s="417" t="s">
        <v>144</v>
      </c>
      <c r="F83" s="418" t="s">
        <v>151</v>
      </c>
      <c r="G83" s="372"/>
      <c r="H83" s="373"/>
      <c r="I83" s="374"/>
      <c r="J83" s="375"/>
      <c r="K83" s="433" t="str">
        <f>IF(TRIM(J83)="", "", IF(VLOOKUP(J83,'Footnotes list'!$D$9:$E$58,2,FALSE)=0,"",VLOOKUP(J83,'Footnotes list'!$D$9:$E$58,2,FALSE) ) )</f>
        <v/>
      </c>
      <c r="L83" s="372"/>
      <c r="M83" s="373"/>
      <c r="N83" s="374"/>
      <c r="O83" s="375"/>
      <c r="P83" s="433" t="str">
        <f>IF(TRIM(O83)="", "", IF(VLOOKUP(O83,'Footnotes list'!$D$9:$E$58,2,FALSE)=0,"",VLOOKUP(O83,'Footnotes list'!$D$9:$E$58,2,FALSE) ) )</f>
        <v/>
      </c>
      <c r="Q83" s="372"/>
      <c r="R83" s="373"/>
      <c r="S83" s="374"/>
      <c r="T83" s="375"/>
      <c r="U83" s="433" t="str">
        <f>IF(TRIM(T83)="", "", IF(VLOOKUP(T83,'Footnotes list'!$D$9:$E$58,2,FALSE)=0,"",VLOOKUP(T83,'Footnotes list'!$D$9:$E$58,2,FALSE) ) )</f>
        <v/>
      </c>
      <c r="V83" s="372"/>
      <c r="W83" s="373"/>
      <c r="X83" s="374"/>
      <c r="Y83" s="375"/>
      <c r="Z83" s="433" t="str">
        <f>IF(TRIM(Y83)="", "", IF(VLOOKUP(Y83,'Footnotes list'!$D$9:$E$58,2,FALSE)=0,"",VLOOKUP(Y83,'Footnotes list'!$D$9:$E$58,2,FALSE) ) )</f>
        <v/>
      </c>
      <c r="AA83" s="400" t="str">
        <f>IF(AND(TRIM(Q83)="",TRIM(V83)=""),"",Q83+V83)</f>
        <v/>
      </c>
      <c r="AB83" s="373"/>
      <c r="AC83" s="374"/>
      <c r="AD83" s="375"/>
      <c r="AE83" s="433" t="str">
        <f>IF(TRIM(AD83)="", "", IF(VLOOKUP(AD83,'Footnotes list'!$D$9:$E$58,2,FALSE)=0,"",VLOOKUP(AD83,'Footnotes list'!$D$9:$E$58,2,FALSE) ) )</f>
        <v/>
      </c>
      <c r="AF83" s="372"/>
      <c r="AG83" s="373"/>
      <c r="AH83" s="374"/>
      <c r="AI83" s="375"/>
      <c r="AJ83" s="433" t="str">
        <f>IF(TRIM(AI83)="", "", IF(VLOOKUP(AI83,'Footnotes list'!$D$9:$E$58,2,FALSE)=0,"",VLOOKUP(AI83,'Footnotes list'!$D$9:$E$58,2,FALSE) ) )</f>
        <v/>
      </c>
      <c r="AK83" s="372"/>
      <c r="AL83" s="373"/>
      <c r="AM83" s="374"/>
      <c r="AN83" s="375"/>
      <c r="AO83" s="433" t="str">
        <f>IF(TRIM(AN83)="", "", IF(VLOOKUP(AN83,'Footnotes list'!$D$9:$E$58,2,FALSE)=0,"",VLOOKUP(AN83,'Footnotes list'!$D$9:$E$58,2,FALSE) ) )</f>
        <v/>
      </c>
      <c r="AP83" s="400" t="str">
        <f>IF(AND(TRIM(AF83)="",TRIM(AK83)=""),"",AF83+AK83)</f>
        <v/>
      </c>
      <c r="AQ83" s="373"/>
      <c r="AR83" s="374"/>
      <c r="AS83" s="375"/>
      <c r="AT83" s="433" t="str">
        <f>IF(TRIM(AS83)="", "", IF(VLOOKUP(AS83,'Footnotes list'!$D$9:$E$58,2,FALSE)=0,"",VLOOKUP(AS83,'Footnotes list'!$D$9:$E$58,2,FALSE) ) )</f>
        <v/>
      </c>
      <c r="AU83" s="400" t="str">
        <f>IF(AND(TRIM(G83)="",TRIM(L83)="",TRIM(AA83)="",TRIM(AP83)=""),"",SUM(G83,L83,AA83,AP83))</f>
        <v/>
      </c>
      <c r="AV83" s="373"/>
      <c r="AW83" s="374"/>
      <c r="AX83" s="375"/>
      <c r="AY83" s="433" t="str">
        <f>IF(TRIM(AX83)="", "", IF(VLOOKUP(AX83,'Footnotes list'!$D$9:$E$58,2,FALSE)=0,"",VLOOKUP(AX83,'Footnotes list'!$D$9:$E$58,2,FALSE) ) )</f>
        <v/>
      </c>
    </row>
    <row r="84" spans="2:51" ht="15" customHeight="1" x14ac:dyDescent="0.35">
      <c r="B84" s="541"/>
      <c r="C84" s="424" t="s">
        <v>135</v>
      </c>
      <c r="D84" s="544"/>
      <c r="E84" s="425" t="s">
        <v>145</v>
      </c>
      <c r="F84" s="426" t="s">
        <v>152</v>
      </c>
      <c r="G84" s="378"/>
      <c r="H84" s="379"/>
      <c r="I84" s="380"/>
      <c r="J84" s="381"/>
      <c r="K84" s="437" t="str">
        <f>IF(TRIM(J84)="", "", IF(VLOOKUP(J84,'Footnotes list'!$D$9:$E$58,2,FALSE)=0,"",VLOOKUP(J84,'Footnotes list'!$D$9:$E$58,2,FALSE) ) )</f>
        <v/>
      </c>
      <c r="L84" s="378"/>
      <c r="M84" s="379"/>
      <c r="N84" s="380"/>
      <c r="O84" s="381"/>
      <c r="P84" s="437" t="str">
        <f>IF(TRIM(O84)="", "", IF(VLOOKUP(O84,'Footnotes list'!$D$9:$E$58,2,FALSE)=0,"",VLOOKUP(O84,'Footnotes list'!$D$9:$E$58,2,FALSE) ) )</f>
        <v/>
      </c>
      <c r="Q84" s="378"/>
      <c r="R84" s="379"/>
      <c r="S84" s="380"/>
      <c r="T84" s="381"/>
      <c r="U84" s="437" t="str">
        <f>IF(TRIM(T84)="", "", IF(VLOOKUP(T84,'Footnotes list'!$D$9:$E$58,2,FALSE)=0,"",VLOOKUP(T84,'Footnotes list'!$D$9:$E$58,2,FALSE) ) )</f>
        <v/>
      </c>
      <c r="V84" s="378"/>
      <c r="W84" s="379"/>
      <c r="X84" s="380"/>
      <c r="Y84" s="381"/>
      <c r="Z84" s="437" t="str">
        <f>IF(TRIM(Y84)="", "", IF(VLOOKUP(Y84,'Footnotes list'!$D$9:$E$58,2,FALSE)=0,"",VLOOKUP(Y84,'Footnotes list'!$D$9:$E$58,2,FALSE) ) )</f>
        <v/>
      </c>
      <c r="AA84" s="399" t="str">
        <f>IF(AND(TRIM(Q84)="",TRIM(V84)=""),"",Q84+V84)</f>
        <v/>
      </c>
      <c r="AB84" s="379"/>
      <c r="AC84" s="380"/>
      <c r="AD84" s="381"/>
      <c r="AE84" s="437" t="str">
        <f>IF(TRIM(AD84)="", "", IF(VLOOKUP(AD84,'Footnotes list'!$D$9:$E$58,2,FALSE)=0,"",VLOOKUP(AD84,'Footnotes list'!$D$9:$E$58,2,FALSE) ) )</f>
        <v/>
      </c>
      <c r="AF84" s="378"/>
      <c r="AG84" s="379"/>
      <c r="AH84" s="380"/>
      <c r="AI84" s="381"/>
      <c r="AJ84" s="437" t="str">
        <f>IF(TRIM(AI84)="", "", IF(VLOOKUP(AI84,'Footnotes list'!$D$9:$E$58,2,FALSE)=0,"",VLOOKUP(AI84,'Footnotes list'!$D$9:$E$58,2,FALSE) ) )</f>
        <v/>
      </c>
      <c r="AK84" s="378"/>
      <c r="AL84" s="379"/>
      <c r="AM84" s="380"/>
      <c r="AN84" s="381"/>
      <c r="AO84" s="437" t="str">
        <f>IF(TRIM(AN84)="", "", IF(VLOOKUP(AN84,'Footnotes list'!$D$9:$E$58,2,FALSE)=0,"",VLOOKUP(AN84,'Footnotes list'!$D$9:$E$58,2,FALSE) ) )</f>
        <v/>
      </c>
      <c r="AP84" s="399" t="str">
        <f>IF(AND(TRIM(AF84)="",TRIM(AK84)=""),"",AF84+AK84)</f>
        <v/>
      </c>
      <c r="AQ84" s="379"/>
      <c r="AR84" s="380"/>
      <c r="AS84" s="381"/>
      <c r="AT84" s="437" t="str">
        <f>IF(TRIM(AS84)="", "", IF(VLOOKUP(AS84,'Footnotes list'!$D$9:$E$58,2,FALSE)=0,"",VLOOKUP(AS84,'Footnotes list'!$D$9:$E$58,2,FALSE) ) )</f>
        <v/>
      </c>
      <c r="AU84" s="438" t="str">
        <f>IF(AND(TRIM(G84)="",TRIM(L84)="",TRIM(AA84)="",TRIM(AP84)=""),"",SUM(G84,L84,AA84,AP84))</f>
        <v/>
      </c>
      <c r="AV84" s="379"/>
      <c r="AW84" s="380"/>
      <c r="AX84" s="381"/>
      <c r="AY84" s="437" t="str">
        <f>IF(TRIM(AX84)="", "", IF(VLOOKUP(AX84,'Footnotes list'!$D$9:$E$58,2,FALSE)=0,"",VLOOKUP(AX84,'Footnotes list'!$D$9:$E$58,2,FALSE) ) )</f>
        <v/>
      </c>
    </row>
    <row r="85" spans="2:51" ht="15" customHeight="1" thickBot="1" x14ac:dyDescent="0.4">
      <c r="B85" s="542"/>
      <c r="C85" s="427" t="s">
        <v>135</v>
      </c>
      <c r="D85" s="545"/>
      <c r="E85" s="422" t="s">
        <v>146</v>
      </c>
      <c r="F85" s="428" t="s">
        <v>234</v>
      </c>
      <c r="G85" s="394" t="str">
        <f>IF(AND(TRIM(G83)="",TRIM(G84)=""),"",G83+G84)</f>
        <v/>
      </c>
      <c r="H85" s="379"/>
      <c r="I85" s="380"/>
      <c r="J85" s="381"/>
      <c r="K85" s="437" t="str">
        <f>IF(TRIM(J85)="", "", IF(VLOOKUP(J85,'Footnotes list'!$D$9:$E$58,2,FALSE)=0,"",VLOOKUP(J85,'Footnotes list'!$D$9:$E$58,2,FALSE) ) )</f>
        <v/>
      </c>
      <c r="L85" s="394" t="str">
        <f>IF(AND(TRIM(L83)="",TRIM(L84)=""),"",L83+L84)</f>
        <v/>
      </c>
      <c r="M85" s="379"/>
      <c r="N85" s="380"/>
      <c r="O85" s="381"/>
      <c r="P85" s="437" t="str">
        <f>IF(TRIM(O85)="", "", IF(VLOOKUP(O85,'Footnotes list'!$D$9:$E$58,2,FALSE)=0,"",VLOOKUP(O85,'Footnotes list'!$D$9:$E$58,2,FALSE) ) )</f>
        <v/>
      </c>
      <c r="Q85" s="394" t="str">
        <f>IF(AND(TRIM(Q83)="",TRIM(Q84)=""),"",Q83+Q84)</f>
        <v/>
      </c>
      <c r="R85" s="379"/>
      <c r="S85" s="380"/>
      <c r="T85" s="381"/>
      <c r="U85" s="437" t="str">
        <f>IF(TRIM(T85)="", "", IF(VLOOKUP(T85,'Footnotes list'!$D$9:$E$58,2,FALSE)=0,"",VLOOKUP(T85,'Footnotes list'!$D$9:$E$58,2,FALSE) ) )</f>
        <v/>
      </c>
      <c r="V85" s="394" t="str">
        <f>IF(AND(TRIM(V83)="",TRIM(V84)=""),"",V83+V84)</f>
        <v/>
      </c>
      <c r="W85" s="379"/>
      <c r="X85" s="380"/>
      <c r="Y85" s="381"/>
      <c r="Z85" s="437" t="str">
        <f>IF(TRIM(Y85)="", "", IF(VLOOKUP(Y85,'Footnotes list'!$D$9:$E$58,2,FALSE)=0,"",VLOOKUP(Y85,'Footnotes list'!$D$9:$E$58,2,FALSE) ) )</f>
        <v/>
      </c>
      <c r="AA85" s="394" t="str">
        <f>IF(AND(TRIM(AA83)="", TRIM(AA84)=""), "", SUM(AA83,AA84))</f>
        <v/>
      </c>
      <c r="AB85" s="379"/>
      <c r="AC85" s="380"/>
      <c r="AD85" s="381"/>
      <c r="AE85" s="437" t="str">
        <f>IF(TRIM(AD85)="", "", IF(VLOOKUP(AD85,'Footnotes list'!$D$9:$E$58,2,FALSE)=0,"",VLOOKUP(AD85,'Footnotes list'!$D$9:$E$58,2,FALSE) ) )</f>
        <v/>
      </c>
      <c r="AF85" s="394" t="str">
        <f>IF(AND(TRIM(AF83)="",TRIM(AF84)=""),"",AF83+AF84)</f>
        <v/>
      </c>
      <c r="AG85" s="379"/>
      <c r="AH85" s="380"/>
      <c r="AI85" s="381"/>
      <c r="AJ85" s="437" t="str">
        <f>IF(TRIM(AI85)="", "", IF(VLOOKUP(AI85,'Footnotes list'!$D$9:$E$58,2,FALSE)=0,"",VLOOKUP(AI85,'Footnotes list'!$D$9:$E$58,2,FALSE) ) )</f>
        <v/>
      </c>
      <c r="AK85" s="394" t="str">
        <f>IF(AND(TRIM(AK83)="",TRIM(AK84)=""),"",AK83+AK84)</f>
        <v/>
      </c>
      <c r="AL85" s="379"/>
      <c r="AM85" s="380"/>
      <c r="AN85" s="381"/>
      <c r="AO85" s="437" t="str">
        <f>IF(TRIM(AN85)="", "", IF(VLOOKUP(AN85,'Footnotes list'!$D$9:$E$58,2,FALSE)=0,"",VLOOKUP(AN85,'Footnotes list'!$D$9:$E$58,2,FALSE) ) )</f>
        <v/>
      </c>
      <c r="AP85" s="394" t="str">
        <f>IF(AND(TRIM(AP83)="", TRIM(AP84)=""), "", SUM(AP83,AP84))</f>
        <v/>
      </c>
      <c r="AQ85" s="379"/>
      <c r="AR85" s="380"/>
      <c r="AS85" s="381"/>
      <c r="AT85" s="437" t="str">
        <f>IF(TRIM(AS85)="", "", IF(VLOOKUP(AS85,'Footnotes list'!$D$9:$E$58,2,FALSE)=0,"",VLOOKUP(AS85,'Footnotes list'!$D$9:$E$58,2,FALSE) ) )</f>
        <v/>
      </c>
      <c r="AU85" s="394" t="str">
        <f>IF(AND(TRIM(AU83)="", TRIM(AU84)=""), "", SUM(AU83,AU84) )</f>
        <v/>
      </c>
      <c r="AV85" s="379"/>
      <c r="AW85" s="380"/>
      <c r="AX85" s="381"/>
      <c r="AY85" s="437" t="str">
        <f>IF(TRIM(AX85)="", "", IF(VLOOKUP(AX85,'Footnotes list'!$D$9:$E$58,2,FALSE)=0,"",VLOOKUP(AX85,'Footnotes list'!$D$9:$E$58,2,FALSE) ) )</f>
        <v/>
      </c>
    </row>
    <row r="86" spans="2:51" ht="15" customHeight="1" thickBot="1" x14ac:dyDescent="0.4">
      <c r="B86" s="540" t="s">
        <v>136</v>
      </c>
      <c r="C86" s="429"/>
      <c r="D86" s="543" t="s">
        <v>101</v>
      </c>
      <c r="E86" s="429"/>
      <c r="F86" s="420" t="s">
        <v>233</v>
      </c>
      <c r="G86" s="439"/>
      <c r="H86" s="446"/>
      <c r="I86" s="447"/>
      <c r="J86" s="448"/>
      <c r="K86" s="445"/>
      <c r="L86" s="439"/>
      <c r="M86" s="446"/>
      <c r="N86" s="447"/>
      <c r="O86" s="448"/>
      <c r="P86" s="445"/>
      <c r="Q86" s="439"/>
      <c r="R86" s="446"/>
      <c r="S86" s="447"/>
      <c r="T86" s="448"/>
      <c r="U86" s="445"/>
      <c r="V86" s="439"/>
      <c r="W86" s="446"/>
      <c r="X86" s="447"/>
      <c r="Y86" s="448"/>
      <c r="Z86" s="445"/>
      <c r="AA86" s="439"/>
      <c r="AB86" s="446"/>
      <c r="AC86" s="447"/>
      <c r="AD86" s="448"/>
      <c r="AE86" s="445"/>
      <c r="AF86" s="439"/>
      <c r="AG86" s="446"/>
      <c r="AH86" s="447"/>
      <c r="AI86" s="448"/>
      <c r="AJ86" s="445"/>
      <c r="AK86" s="439"/>
      <c r="AL86" s="446"/>
      <c r="AM86" s="447"/>
      <c r="AN86" s="448"/>
      <c r="AO86" s="445"/>
      <c r="AP86" s="439"/>
      <c r="AQ86" s="446"/>
      <c r="AR86" s="447"/>
      <c r="AS86" s="448"/>
      <c r="AT86" s="445"/>
      <c r="AU86" s="439"/>
      <c r="AV86" s="446"/>
      <c r="AW86" s="447"/>
      <c r="AX86" s="448"/>
      <c r="AY86" s="445"/>
    </row>
    <row r="87" spans="2:51" ht="15" customHeight="1" x14ac:dyDescent="0.35">
      <c r="B87" s="541"/>
      <c r="C87" s="424" t="s">
        <v>136</v>
      </c>
      <c r="D87" s="544"/>
      <c r="E87" s="425" t="s">
        <v>145</v>
      </c>
      <c r="F87" s="426" t="s">
        <v>152</v>
      </c>
      <c r="G87" s="378"/>
      <c r="H87" s="379"/>
      <c r="I87" s="380"/>
      <c r="J87" s="381"/>
      <c r="K87" s="437" t="str">
        <f>IF(TRIM(J87)="", "", IF(VLOOKUP(J87,'Footnotes list'!$D$9:$E$58,2,FALSE)=0,"",VLOOKUP(J87,'Footnotes list'!$D$9:$E$58,2,FALSE) ) )</f>
        <v/>
      </c>
      <c r="L87" s="378"/>
      <c r="M87" s="379"/>
      <c r="N87" s="380"/>
      <c r="O87" s="381"/>
      <c r="P87" s="437" t="str">
        <f>IF(TRIM(O87)="", "", IF(VLOOKUP(O87,'Footnotes list'!$D$9:$E$58,2,FALSE)=0,"",VLOOKUP(O87,'Footnotes list'!$D$9:$E$58,2,FALSE) ) )</f>
        <v/>
      </c>
      <c r="Q87" s="378"/>
      <c r="R87" s="379"/>
      <c r="S87" s="380"/>
      <c r="T87" s="381"/>
      <c r="U87" s="437" t="str">
        <f>IF(TRIM(T87)="", "", IF(VLOOKUP(T87,'Footnotes list'!$D$9:$E$58,2,FALSE)=0,"",VLOOKUP(T87,'Footnotes list'!$D$9:$E$58,2,FALSE) ) )</f>
        <v/>
      </c>
      <c r="V87" s="378"/>
      <c r="W87" s="379"/>
      <c r="X87" s="380"/>
      <c r="Y87" s="381"/>
      <c r="Z87" s="437" t="str">
        <f>IF(TRIM(Y87)="", "", IF(VLOOKUP(Y87,'Footnotes list'!$D$9:$E$58,2,FALSE)=0,"",VLOOKUP(Y87,'Footnotes list'!$D$9:$E$58,2,FALSE) ) )</f>
        <v/>
      </c>
      <c r="AA87" s="399" t="str">
        <f>IF(AND(TRIM(Q87)="",TRIM(V87)=""),"",Q87+V87)</f>
        <v/>
      </c>
      <c r="AB87" s="379"/>
      <c r="AC87" s="380"/>
      <c r="AD87" s="381"/>
      <c r="AE87" s="437" t="str">
        <f>IF(TRIM(AD87)="", "", IF(VLOOKUP(AD87,'Footnotes list'!$D$9:$E$58,2,FALSE)=0,"",VLOOKUP(AD87,'Footnotes list'!$D$9:$E$58,2,FALSE) ) )</f>
        <v/>
      </c>
      <c r="AF87" s="378"/>
      <c r="AG87" s="379"/>
      <c r="AH87" s="380"/>
      <c r="AI87" s="381"/>
      <c r="AJ87" s="437" t="str">
        <f>IF(TRIM(AI87)="", "", IF(VLOOKUP(AI87,'Footnotes list'!$D$9:$E$58,2,FALSE)=0,"",VLOOKUP(AI87,'Footnotes list'!$D$9:$E$58,2,FALSE) ) )</f>
        <v/>
      </c>
      <c r="AK87" s="378"/>
      <c r="AL87" s="379"/>
      <c r="AM87" s="380"/>
      <c r="AN87" s="381"/>
      <c r="AO87" s="437" t="str">
        <f>IF(TRIM(AN87)="", "", IF(VLOOKUP(AN87,'Footnotes list'!$D$9:$E$58,2,FALSE)=0,"",VLOOKUP(AN87,'Footnotes list'!$D$9:$E$58,2,FALSE) ) )</f>
        <v/>
      </c>
      <c r="AP87" s="399" t="str">
        <f>IF(AND(TRIM(AF87)="",TRIM(AK87)=""),"",AF87+AK87)</f>
        <v/>
      </c>
      <c r="AQ87" s="379"/>
      <c r="AR87" s="380"/>
      <c r="AS87" s="381"/>
      <c r="AT87" s="437" t="str">
        <f>IF(TRIM(AS87)="", "", IF(VLOOKUP(AS87,'Footnotes list'!$D$9:$E$58,2,FALSE)=0,"",VLOOKUP(AS87,'Footnotes list'!$D$9:$E$58,2,FALSE) ) )</f>
        <v/>
      </c>
      <c r="AU87" s="438" t="str">
        <f>IF(AND(TRIM(G87)="",TRIM(L87)="",TRIM(AA87)="",TRIM(AP87)=""),"",SUM(G87,L87,AA87,AP87))</f>
        <v/>
      </c>
      <c r="AV87" s="379"/>
      <c r="AW87" s="380"/>
      <c r="AX87" s="381"/>
      <c r="AY87" s="437" t="str">
        <f>IF(TRIM(AX87)="", "", IF(VLOOKUP(AX87,'Footnotes list'!$D$9:$E$58,2,FALSE)=0,"",VLOOKUP(AX87,'Footnotes list'!$D$9:$E$58,2,FALSE) ) )</f>
        <v/>
      </c>
    </row>
    <row r="88" spans="2:51" ht="15" customHeight="1" thickBot="1" x14ac:dyDescent="0.4">
      <c r="B88" s="542"/>
      <c r="C88" s="427" t="s">
        <v>136</v>
      </c>
      <c r="D88" s="545"/>
      <c r="E88" s="422" t="s">
        <v>146</v>
      </c>
      <c r="F88" s="428" t="s">
        <v>234</v>
      </c>
      <c r="G88" s="394" t="str">
        <f>IF(AND(TRIM(G86)="",TRIM(G87)=""),"",G86+G87)</f>
        <v/>
      </c>
      <c r="H88" s="379"/>
      <c r="I88" s="380"/>
      <c r="J88" s="381"/>
      <c r="K88" s="437" t="str">
        <f>IF(TRIM(J88)="", "", IF(VLOOKUP(J88,'Footnotes list'!$D$9:$E$58,2,FALSE)=0,"",VLOOKUP(J88,'Footnotes list'!$D$9:$E$58,2,FALSE) ) )</f>
        <v/>
      </c>
      <c r="L88" s="394" t="str">
        <f>IF(AND(TRIM(L86)="",TRIM(L87)=""),"",L86+L87)</f>
        <v/>
      </c>
      <c r="M88" s="379"/>
      <c r="N88" s="380"/>
      <c r="O88" s="381"/>
      <c r="P88" s="437" t="str">
        <f>IF(TRIM(O88)="", "", IF(VLOOKUP(O88,'Footnotes list'!$D$9:$E$58,2,FALSE)=0,"",VLOOKUP(O88,'Footnotes list'!$D$9:$E$58,2,FALSE) ) )</f>
        <v/>
      </c>
      <c r="Q88" s="394" t="str">
        <f>IF(AND(TRIM(Q86)="",TRIM(Q87)=""),"",Q86+Q87)</f>
        <v/>
      </c>
      <c r="R88" s="379"/>
      <c r="S88" s="380"/>
      <c r="T88" s="381"/>
      <c r="U88" s="437" t="str">
        <f>IF(TRIM(T88)="", "", IF(VLOOKUP(T88,'Footnotes list'!$D$9:$E$58,2,FALSE)=0,"",VLOOKUP(T88,'Footnotes list'!$D$9:$E$58,2,FALSE) ) )</f>
        <v/>
      </c>
      <c r="V88" s="394" t="str">
        <f>IF(AND(TRIM(V86)="",TRIM(V87)=""),"",V86+V87)</f>
        <v/>
      </c>
      <c r="W88" s="379"/>
      <c r="X88" s="380"/>
      <c r="Y88" s="381"/>
      <c r="Z88" s="437" t="str">
        <f>IF(TRIM(Y88)="", "", IF(VLOOKUP(Y88,'Footnotes list'!$D$9:$E$58,2,FALSE)=0,"",VLOOKUP(Y88,'Footnotes list'!$D$9:$E$58,2,FALSE) ) )</f>
        <v/>
      </c>
      <c r="AA88" s="394" t="str">
        <f>IF(AND(TRIM(AA86)="", TRIM(AA87)=""), "", SUM(AA86,AA87))</f>
        <v/>
      </c>
      <c r="AB88" s="379"/>
      <c r="AC88" s="380"/>
      <c r="AD88" s="381"/>
      <c r="AE88" s="437" t="str">
        <f>IF(TRIM(AD88)="", "", IF(VLOOKUP(AD88,'Footnotes list'!$D$9:$E$58,2,FALSE)=0,"",VLOOKUP(AD88,'Footnotes list'!$D$9:$E$58,2,FALSE) ) )</f>
        <v/>
      </c>
      <c r="AF88" s="394" t="str">
        <f>IF(AND(TRIM(AF86)="",TRIM(AF87)=""),"",AF86+AF87)</f>
        <v/>
      </c>
      <c r="AG88" s="379"/>
      <c r="AH88" s="380"/>
      <c r="AI88" s="381"/>
      <c r="AJ88" s="437" t="str">
        <f>IF(TRIM(AI88)="", "", IF(VLOOKUP(AI88,'Footnotes list'!$D$9:$E$58,2,FALSE)=0,"",VLOOKUP(AI88,'Footnotes list'!$D$9:$E$58,2,FALSE) ) )</f>
        <v/>
      </c>
      <c r="AK88" s="394" t="str">
        <f>IF(AND(TRIM(AK86)="",TRIM(AK87)=""),"",AK86+AK87)</f>
        <v/>
      </c>
      <c r="AL88" s="379"/>
      <c r="AM88" s="380"/>
      <c r="AN88" s="381"/>
      <c r="AO88" s="437" t="str">
        <f>IF(TRIM(AN88)="", "", IF(VLOOKUP(AN88,'Footnotes list'!$D$9:$E$58,2,FALSE)=0,"",VLOOKUP(AN88,'Footnotes list'!$D$9:$E$58,2,FALSE) ) )</f>
        <v/>
      </c>
      <c r="AP88" s="394" t="str">
        <f>IF(AND(TRIM(AP86)="", TRIM(AP87)=""), "", SUM(AP86,AP87))</f>
        <v/>
      </c>
      <c r="AQ88" s="379"/>
      <c r="AR88" s="380"/>
      <c r="AS88" s="381"/>
      <c r="AT88" s="437" t="str">
        <f>IF(TRIM(AS88)="", "", IF(VLOOKUP(AS88,'Footnotes list'!$D$9:$E$58,2,FALSE)=0,"",VLOOKUP(AS88,'Footnotes list'!$D$9:$E$58,2,FALSE) ) )</f>
        <v/>
      </c>
      <c r="AU88" s="394" t="str">
        <f>IF(AND(TRIM(AU86)="", TRIM(AU87)=""), "", SUM(AU86,AU87) )</f>
        <v/>
      </c>
      <c r="AV88" s="379"/>
      <c r="AW88" s="380"/>
      <c r="AX88" s="381"/>
      <c r="AY88" s="437" t="str">
        <f>IF(TRIM(AX88)="", "", IF(VLOOKUP(AX88,'Footnotes list'!$D$9:$E$58,2,FALSE)=0,"",VLOOKUP(AX88,'Footnotes list'!$D$9:$E$58,2,FALSE) ) )</f>
        <v/>
      </c>
    </row>
    <row r="89" spans="2:51" ht="15" customHeight="1" x14ac:dyDescent="0.35">
      <c r="B89" s="540" t="s">
        <v>137</v>
      </c>
      <c r="C89" s="416" t="s">
        <v>137</v>
      </c>
      <c r="D89" s="543" t="s">
        <v>160</v>
      </c>
      <c r="E89" s="417" t="s">
        <v>144</v>
      </c>
      <c r="F89" s="418" t="s">
        <v>151</v>
      </c>
      <c r="G89" s="372"/>
      <c r="H89" s="373"/>
      <c r="I89" s="374"/>
      <c r="J89" s="375"/>
      <c r="K89" s="433" t="str">
        <f>IF(TRIM(J89)="", "", IF(VLOOKUP(J89,'Footnotes list'!$D$9:$E$58,2,FALSE)=0,"",VLOOKUP(J89,'Footnotes list'!$D$9:$E$58,2,FALSE) ) )</f>
        <v/>
      </c>
      <c r="L89" s="372"/>
      <c r="M89" s="373"/>
      <c r="N89" s="374"/>
      <c r="O89" s="375"/>
      <c r="P89" s="433" t="str">
        <f>IF(TRIM(O89)="", "", IF(VLOOKUP(O89,'Footnotes list'!$D$9:$E$58,2,FALSE)=0,"",VLOOKUP(O89,'Footnotes list'!$D$9:$E$58,2,FALSE) ) )</f>
        <v/>
      </c>
      <c r="Q89" s="372"/>
      <c r="R89" s="373"/>
      <c r="S89" s="374"/>
      <c r="T89" s="375"/>
      <c r="U89" s="433" t="str">
        <f>IF(TRIM(T89)="", "", IF(VLOOKUP(T89,'Footnotes list'!$D$9:$E$58,2,FALSE)=0,"",VLOOKUP(T89,'Footnotes list'!$D$9:$E$58,2,FALSE) ) )</f>
        <v/>
      </c>
      <c r="V89" s="372"/>
      <c r="W89" s="373"/>
      <c r="X89" s="374"/>
      <c r="Y89" s="375"/>
      <c r="Z89" s="433" t="str">
        <f>IF(TRIM(Y89)="", "", IF(VLOOKUP(Y89,'Footnotes list'!$D$9:$E$58,2,FALSE)=0,"",VLOOKUP(Y89,'Footnotes list'!$D$9:$E$58,2,FALSE) ) )</f>
        <v/>
      </c>
      <c r="AA89" s="400" t="str">
        <f>IF(AND(TRIM(Q89)="",TRIM(V89)=""),"",Q89+V89)</f>
        <v/>
      </c>
      <c r="AB89" s="373"/>
      <c r="AC89" s="374"/>
      <c r="AD89" s="375"/>
      <c r="AE89" s="433" t="str">
        <f>IF(TRIM(AD89)="", "", IF(VLOOKUP(AD89,'Footnotes list'!$D$9:$E$58,2,FALSE)=0,"",VLOOKUP(AD89,'Footnotes list'!$D$9:$E$58,2,FALSE) ) )</f>
        <v/>
      </c>
      <c r="AF89" s="372"/>
      <c r="AG89" s="373"/>
      <c r="AH89" s="374"/>
      <c r="AI89" s="375"/>
      <c r="AJ89" s="433" t="str">
        <f>IF(TRIM(AI89)="", "", IF(VLOOKUP(AI89,'Footnotes list'!$D$9:$E$58,2,FALSE)=0,"",VLOOKUP(AI89,'Footnotes list'!$D$9:$E$58,2,FALSE) ) )</f>
        <v/>
      </c>
      <c r="AK89" s="372"/>
      <c r="AL89" s="373"/>
      <c r="AM89" s="374"/>
      <c r="AN89" s="375"/>
      <c r="AO89" s="433" t="str">
        <f>IF(TRIM(AN89)="", "", IF(VLOOKUP(AN89,'Footnotes list'!$D$9:$E$58,2,FALSE)=0,"",VLOOKUP(AN89,'Footnotes list'!$D$9:$E$58,2,FALSE) ) )</f>
        <v/>
      </c>
      <c r="AP89" s="400" t="str">
        <f>IF(AND(TRIM(AF89)="",TRIM(AK89)=""),"",AF89+AK89)</f>
        <v/>
      </c>
      <c r="AQ89" s="373"/>
      <c r="AR89" s="374"/>
      <c r="AS89" s="375"/>
      <c r="AT89" s="433" t="str">
        <f>IF(TRIM(AS89)="", "", IF(VLOOKUP(AS89,'Footnotes list'!$D$9:$E$58,2,FALSE)=0,"",VLOOKUP(AS89,'Footnotes list'!$D$9:$E$58,2,FALSE) ) )</f>
        <v/>
      </c>
      <c r="AU89" s="400" t="str">
        <f>IF(AND(TRIM(G89)="",TRIM(L89)="",TRIM(AA89)="",TRIM(AP89)=""),"",SUM(G89,L89,AA89,AP89))</f>
        <v/>
      </c>
      <c r="AV89" s="373"/>
      <c r="AW89" s="374"/>
      <c r="AX89" s="375"/>
      <c r="AY89" s="433" t="str">
        <f>IF(TRIM(AX89)="", "", IF(VLOOKUP(AX89,'Footnotes list'!$D$9:$E$58,2,FALSE)=0,"",VLOOKUP(AX89,'Footnotes list'!$D$9:$E$58,2,FALSE) ) )</f>
        <v/>
      </c>
    </row>
    <row r="90" spans="2:51" ht="15" customHeight="1" x14ac:dyDescent="0.35">
      <c r="B90" s="541"/>
      <c r="C90" s="424" t="s">
        <v>137</v>
      </c>
      <c r="D90" s="544"/>
      <c r="E90" s="425" t="s">
        <v>145</v>
      </c>
      <c r="F90" s="426" t="s">
        <v>152</v>
      </c>
      <c r="G90" s="378"/>
      <c r="H90" s="379"/>
      <c r="I90" s="380"/>
      <c r="J90" s="381"/>
      <c r="K90" s="437" t="str">
        <f>IF(TRIM(J90)="", "", IF(VLOOKUP(J90,'Footnotes list'!$D$9:$E$58,2,FALSE)=0,"",VLOOKUP(J90,'Footnotes list'!$D$9:$E$58,2,FALSE) ) )</f>
        <v/>
      </c>
      <c r="L90" s="378"/>
      <c r="M90" s="379"/>
      <c r="N90" s="380"/>
      <c r="O90" s="381"/>
      <c r="P90" s="437" t="str">
        <f>IF(TRIM(O90)="", "", IF(VLOOKUP(O90,'Footnotes list'!$D$9:$E$58,2,FALSE)=0,"",VLOOKUP(O90,'Footnotes list'!$D$9:$E$58,2,FALSE) ) )</f>
        <v/>
      </c>
      <c r="Q90" s="378"/>
      <c r="R90" s="379"/>
      <c r="S90" s="380"/>
      <c r="T90" s="381"/>
      <c r="U90" s="437" t="str">
        <f>IF(TRIM(T90)="", "", IF(VLOOKUP(T90,'Footnotes list'!$D$9:$E$58,2,FALSE)=0,"",VLOOKUP(T90,'Footnotes list'!$D$9:$E$58,2,FALSE) ) )</f>
        <v/>
      </c>
      <c r="V90" s="378"/>
      <c r="W90" s="379"/>
      <c r="X90" s="380"/>
      <c r="Y90" s="381"/>
      <c r="Z90" s="437" t="str">
        <f>IF(TRIM(Y90)="", "", IF(VLOOKUP(Y90,'Footnotes list'!$D$9:$E$58,2,FALSE)=0,"",VLOOKUP(Y90,'Footnotes list'!$D$9:$E$58,2,FALSE) ) )</f>
        <v/>
      </c>
      <c r="AA90" s="399" t="str">
        <f>IF(AND(TRIM(Q90)="",TRIM(V90)=""),"",Q90+V90)</f>
        <v/>
      </c>
      <c r="AB90" s="379"/>
      <c r="AC90" s="380"/>
      <c r="AD90" s="381"/>
      <c r="AE90" s="437" t="str">
        <f>IF(TRIM(AD90)="", "", IF(VLOOKUP(AD90,'Footnotes list'!$D$9:$E$58,2,FALSE)=0,"",VLOOKUP(AD90,'Footnotes list'!$D$9:$E$58,2,FALSE) ) )</f>
        <v/>
      </c>
      <c r="AF90" s="378"/>
      <c r="AG90" s="379"/>
      <c r="AH90" s="380"/>
      <c r="AI90" s="381"/>
      <c r="AJ90" s="437" t="str">
        <f>IF(TRIM(AI90)="", "", IF(VLOOKUP(AI90,'Footnotes list'!$D$9:$E$58,2,FALSE)=0,"",VLOOKUP(AI90,'Footnotes list'!$D$9:$E$58,2,FALSE) ) )</f>
        <v/>
      </c>
      <c r="AK90" s="378"/>
      <c r="AL90" s="379"/>
      <c r="AM90" s="380"/>
      <c r="AN90" s="381"/>
      <c r="AO90" s="437" t="str">
        <f>IF(TRIM(AN90)="", "", IF(VLOOKUP(AN90,'Footnotes list'!$D$9:$E$58,2,FALSE)=0,"",VLOOKUP(AN90,'Footnotes list'!$D$9:$E$58,2,FALSE) ) )</f>
        <v/>
      </c>
      <c r="AP90" s="399" t="str">
        <f>IF(AND(TRIM(AF90)="",TRIM(AK90)=""),"",AF90+AK90)</f>
        <v/>
      </c>
      <c r="AQ90" s="379"/>
      <c r="AR90" s="380"/>
      <c r="AS90" s="381"/>
      <c r="AT90" s="437" t="str">
        <f>IF(TRIM(AS90)="", "", IF(VLOOKUP(AS90,'Footnotes list'!$D$9:$E$58,2,FALSE)=0,"",VLOOKUP(AS90,'Footnotes list'!$D$9:$E$58,2,FALSE) ) )</f>
        <v/>
      </c>
      <c r="AU90" s="438" t="str">
        <f>IF(AND(TRIM(G90)="",TRIM(L90)="",TRIM(AA90)="",TRIM(AP90)=""),"",SUM(G90,L90,AA90,AP90))</f>
        <v/>
      </c>
      <c r="AV90" s="379"/>
      <c r="AW90" s="380"/>
      <c r="AX90" s="381"/>
      <c r="AY90" s="437" t="str">
        <f>IF(TRIM(AX90)="", "", IF(VLOOKUP(AX90,'Footnotes list'!$D$9:$E$58,2,FALSE)=0,"",VLOOKUP(AX90,'Footnotes list'!$D$9:$E$58,2,FALSE) ) )</f>
        <v/>
      </c>
    </row>
    <row r="91" spans="2:51" ht="15" customHeight="1" thickBot="1" x14ac:dyDescent="0.4">
      <c r="B91" s="542"/>
      <c r="C91" s="427" t="s">
        <v>137</v>
      </c>
      <c r="D91" s="545"/>
      <c r="E91" s="422" t="s">
        <v>146</v>
      </c>
      <c r="F91" s="428" t="s">
        <v>234</v>
      </c>
      <c r="G91" s="394" t="str">
        <f>IF(AND(TRIM(G89)="",TRIM(G90)=""),"",G89+G90)</f>
        <v/>
      </c>
      <c r="H91" s="379"/>
      <c r="I91" s="380"/>
      <c r="J91" s="381"/>
      <c r="K91" s="437" t="str">
        <f>IF(TRIM(J91)="", "", IF(VLOOKUP(J91,'Footnotes list'!$D$9:$E$58,2,FALSE)=0,"",VLOOKUP(J91,'Footnotes list'!$D$9:$E$58,2,FALSE) ) )</f>
        <v/>
      </c>
      <c r="L91" s="394" t="str">
        <f>IF(AND(TRIM(L89)="",TRIM(L90)=""),"",L89+L90)</f>
        <v/>
      </c>
      <c r="M91" s="379"/>
      <c r="N91" s="380"/>
      <c r="O91" s="381"/>
      <c r="P91" s="437" t="str">
        <f>IF(TRIM(O91)="", "", IF(VLOOKUP(O91,'Footnotes list'!$D$9:$E$58,2,FALSE)=0,"",VLOOKUP(O91,'Footnotes list'!$D$9:$E$58,2,FALSE) ) )</f>
        <v/>
      </c>
      <c r="Q91" s="394" t="str">
        <f>IF(AND(TRIM(Q89)="",TRIM(Q90)=""),"",Q89+Q90)</f>
        <v/>
      </c>
      <c r="R91" s="379"/>
      <c r="S91" s="380"/>
      <c r="T91" s="381"/>
      <c r="U91" s="437" t="str">
        <f>IF(TRIM(T91)="", "", IF(VLOOKUP(T91,'Footnotes list'!$D$9:$E$58,2,FALSE)=0,"",VLOOKUP(T91,'Footnotes list'!$D$9:$E$58,2,FALSE) ) )</f>
        <v/>
      </c>
      <c r="V91" s="394" t="str">
        <f>IF(AND(TRIM(V89)="",TRIM(V90)=""),"",V89+V90)</f>
        <v/>
      </c>
      <c r="W91" s="379"/>
      <c r="X91" s="380"/>
      <c r="Y91" s="381"/>
      <c r="Z91" s="437" t="str">
        <f>IF(TRIM(Y91)="", "", IF(VLOOKUP(Y91,'Footnotes list'!$D$9:$E$58,2,FALSE)=0,"",VLOOKUP(Y91,'Footnotes list'!$D$9:$E$58,2,FALSE) ) )</f>
        <v/>
      </c>
      <c r="AA91" s="394" t="str">
        <f>IF(AND(TRIM(AA89)="", TRIM(AA90)=""), "", SUM(AA89,AA90))</f>
        <v/>
      </c>
      <c r="AB91" s="379"/>
      <c r="AC91" s="380"/>
      <c r="AD91" s="381"/>
      <c r="AE91" s="437" t="str">
        <f>IF(TRIM(AD91)="", "", IF(VLOOKUP(AD91,'Footnotes list'!$D$9:$E$58,2,FALSE)=0,"",VLOOKUP(AD91,'Footnotes list'!$D$9:$E$58,2,FALSE) ) )</f>
        <v/>
      </c>
      <c r="AF91" s="394" t="str">
        <f>IF(AND(TRIM(AF89)="",TRIM(AF90)=""),"",AF89+AF90)</f>
        <v/>
      </c>
      <c r="AG91" s="379"/>
      <c r="AH91" s="380"/>
      <c r="AI91" s="381"/>
      <c r="AJ91" s="437" t="str">
        <f>IF(TRIM(AI91)="", "", IF(VLOOKUP(AI91,'Footnotes list'!$D$9:$E$58,2,FALSE)=0,"",VLOOKUP(AI91,'Footnotes list'!$D$9:$E$58,2,FALSE) ) )</f>
        <v/>
      </c>
      <c r="AK91" s="394" t="str">
        <f>IF(AND(TRIM(AK89)="",TRIM(AK90)=""),"",AK89+AK90)</f>
        <v/>
      </c>
      <c r="AL91" s="379"/>
      <c r="AM91" s="380"/>
      <c r="AN91" s="381"/>
      <c r="AO91" s="437" t="str">
        <f>IF(TRIM(AN91)="", "", IF(VLOOKUP(AN91,'Footnotes list'!$D$9:$E$58,2,FALSE)=0,"",VLOOKUP(AN91,'Footnotes list'!$D$9:$E$58,2,FALSE) ) )</f>
        <v/>
      </c>
      <c r="AP91" s="394" t="str">
        <f>IF(AND(TRIM(AP89)="", TRIM(AP90)=""), "", SUM(AP89,AP90))</f>
        <v/>
      </c>
      <c r="AQ91" s="379"/>
      <c r="AR91" s="380"/>
      <c r="AS91" s="381"/>
      <c r="AT91" s="437" t="str">
        <f>IF(TRIM(AS91)="", "", IF(VLOOKUP(AS91,'Footnotes list'!$D$9:$E$58,2,FALSE)=0,"",VLOOKUP(AS91,'Footnotes list'!$D$9:$E$58,2,FALSE) ) )</f>
        <v/>
      </c>
      <c r="AU91" s="394" t="str">
        <f>IF(AND(TRIM(AU89)="", TRIM(AU90)=""), "", SUM(AU89,AU90) )</f>
        <v/>
      </c>
      <c r="AV91" s="379"/>
      <c r="AW91" s="380"/>
      <c r="AX91" s="381"/>
      <c r="AY91" s="437" t="str">
        <f>IF(TRIM(AX91)="", "", IF(VLOOKUP(AX91,'Footnotes list'!$D$9:$E$58,2,FALSE)=0,"",VLOOKUP(AX91,'Footnotes list'!$D$9:$E$58,2,FALSE) ) )</f>
        <v/>
      </c>
    </row>
    <row r="92" spans="2:51" ht="15" customHeight="1" x14ac:dyDescent="0.35">
      <c r="B92" s="540" t="s">
        <v>138</v>
      </c>
      <c r="C92" s="416" t="s">
        <v>138</v>
      </c>
      <c r="D92" s="543" t="s">
        <v>161</v>
      </c>
      <c r="E92" s="417" t="s">
        <v>144</v>
      </c>
      <c r="F92" s="418" t="s">
        <v>151</v>
      </c>
      <c r="G92" s="372"/>
      <c r="H92" s="373"/>
      <c r="I92" s="374"/>
      <c r="J92" s="375"/>
      <c r="K92" s="433" t="str">
        <f>IF(TRIM(J92)="", "", IF(VLOOKUP(J92,'Footnotes list'!$D$9:$E$58,2,FALSE)=0,"",VLOOKUP(J92,'Footnotes list'!$D$9:$E$58,2,FALSE) ) )</f>
        <v/>
      </c>
      <c r="L92" s="372"/>
      <c r="M92" s="373"/>
      <c r="N92" s="374"/>
      <c r="O92" s="375"/>
      <c r="P92" s="433" t="str">
        <f>IF(TRIM(O92)="", "", IF(VLOOKUP(O92,'Footnotes list'!$D$9:$E$58,2,FALSE)=0,"",VLOOKUP(O92,'Footnotes list'!$D$9:$E$58,2,FALSE) ) )</f>
        <v/>
      </c>
      <c r="Q92" s="372"/>
      <c r="R92" s="373"/>
      <c r="S92" s="374"/>
      <c r="T92" s="375"/>
      <c r="U92" s="433" t="str">
        <f>IF(TRIM(T92)="", "", IF(VLOOKUP(T92,'Footnotes list'!$D$9:$E$58,2,FALSE)=0,"",VLOOKUP(T92,'Footnotes list'!$D$9:$E$58,2,FALSE) ) )</f>
        <v/>
      </c>
      <c r="V92" s="372"/>
      <c r="W92" s="373"/>
      <c r="X92" s="374"/>
      <c r="Y92" s="375"/>
      <c r="Z92" s="433" t="str">
        <f>IF(TRIM(Y92)="", "", IF(VLOOKUP(Y92,'Footnotes list'!$D$9:$E$58,2,FALSE)=0,"",VLOOKUP(Y92,'Footnotes list'!$D$9:$E$58,2,FALSE) ) )</f>
        <v/>
      </c>
      <c r="AA92" s="400" t="str">
        <f>IF(AND(TRIM(Q92)="",TRIM(V92)=""),"",Q92+V92)</f>
        <v/>
      </c>
      <c r="AB92" s="373"/>
      <c r="AC92" s="374"/>
      <c r="AD92" s="375"/>
      <c r="AE92" s="433" t="str">
        <f>IF(TRIM(AD92)="", "", IF(VLOOKUP(AD92,'Footnotes list'!$D$9:$E$58,2,FALSE)=0,"",VLOOKUP(AD92,'Footnotes list'!$D$9:$E$58,2,FALSE) ) )</f>
        <v/>
      </c>
      <c r="AF92" s="372"/>
      <c r="AG92" s="373"/>
      <c r="AH92" s="374"/>
      <c r="AI92" s="375"/>
      <c r="AJ92" s="433" t="str">
        <f>IF(TRIM(AI92)="", "", IF(VLOOKUP(AI92,'Footnotes list'!$D$9:$E$58,2,FALSE)=0,"",VLOOKUP(AI92,'Footnotes list'!$D$9:$E$58,2,FALSE) ) )</f>
        <v/>
      </c>
      <c r="AK92" s="372"/>
      <c r="AL92" s="373"/>
      <c r="AM92" s="374"/>
      <c r="AN92" s="375"/>
      <c r="AO92" s="433" t="str">
        <f>IF(TRIM(AN92)="", "", IF(VLOOKUP(AN92,'Footnotes list'!$D$9:$E$58,2,FALSE)=0,"",VLOOKUP(AN92,'Footnotes list'!$D$9:$E$58,2,FALSE) ) )</f>
        <v/>
      </c>
      <c r="AP92" s="400" t="str">
        <f>IF(AND(TRIM(AF92)="",TRIM(AK92)=""),"",AF92+AK92)</f>
        <v/>
      </c>
      <c r="AQ92" s="373"/>
      <c r="AR92" s="374"/>
      <c r="AS92" s="375"/>
      <c r="AT92" s="433" t="str">
        <f>IF(TRIM(AS92)="", "", IF(VLOOKUP(AS92,'Footnotes list'!$D$9:$E$58,2,FALSE)=0,"",VLOOKUP(AS92,'Footnotes list'!$D$9:$E$58,2,FALSE) ) )</f>
        <v/>
      </c>
      <c r="AU92" s="400" t="str">
        <f>IF(AND(TRIM(G92)="",TRIM(L92)="",TRIM(AA92)="",TRIM(AP92)=""),"",SUM(G92,L92,AA92,AP92))</f>
        <v/>
      </c>
      <c r="AV92" s="373"/>
      <c r="AW92" s="374"/>
      <c r="AX92" s="375"/>
      <c r="AY92" s="433" t="str">
        <f>IF(TRIM(AX92)="", "", IF(VLOOKUP(AX92,'Footnotes list'!$D$9:$E$58,2,FALSE)=0,"",VLOOKUP(AX92,'Footnotes list'!$D$9:$E$58,2,FALSE) ) )</f>
        <v/>
      </c>
    </row>
    <row r="93" spans="2:51" ht="15" customHeight="1" x14ac:dyDescent="0.35">
      <c r="B93" s="541"/>
      <c r="C93" s="424" t="s">
        <v>138</v>
      </c>
      <c r="D93" s="544"/>
      <c r="E93" s="425" t="s">
        <v>145</v>
      </c>
      <c r="F93" s="426" t="s">
        <v>152</v>
      </c>
      <c r="G93" s="378"/>
      <c r="H93" s="379"/>
      <c r="I93" s="380"/>
      <c r="J93" s="381"/>
      <c r="K93" s="437" t="str">
        <f>IF(TRIM(J93)="", "", IF(VLOOKUP(J93,'Footnotes list'!$D$9:$E$58,2,FALSE)=0,"",VLOOKUP(J93,'Footnotes list'!$D$9:$E$58,2,FALSE) ) )</f>
        <v/>
      </c>
      <c r="L93" s="378"/>
      <c r="M93" s="379"/>
      <c r="N93" s="380"/>
      <c r="O93" s="381"/>
      <c r="P93" s="437" t="str">
        <f>IF(TRIM(O93)="", "", IF(VLOOKUP(O93,'Footnotes list'!$D$9:$E$58,2,FALSE)=0,"",VLOOKUP(O93,'Footnotes list'!$D$9:$E$58,2,FALSE) ) )</f>
        <v/>
      </c>
      <c r="Q93" s="378"/>
      <c r="R93" s="379"/>
      <c r="S93" s="380"/>
      <c r="T93" s="381"/>
      <c r="U93" s="437" t="str">
        <f>IF(TRIM(T93)="", "", IF(VLOOKUP(T93,'Footnotes list'!$D$9:$E$58,2,FALSE)=0,"",VLOOKUP(T93,'Footnotes list'!$D$9:$E$58,2,FALSE) ) )</f>
        <v/>
      </c>
      <c r="V93" s="378"/>
      <c r="W93" s="379"/>
      <c r="X93" s="380"/>
      <c r="Y93" s="381"/>
      <c r="Z93" s="437" t="str">
        <f>IF(TRIM(Y93)="", "", IF(VLOOKUP(Y93,'Footnotes list'!$D$9:$E$58,2,FALSE)=0,"",VLOOKUP(Y93,'Footnotes list'!$D$9:$E$58,2,FALSE) ) )</f>
        <v/>
      </c>
      <c r="AA93" s="399" t="str">
        <f>IF(AND(TRIM(Q93)="",TRIM(V93)=""),"",Q93+V93)</f>
        <v/>
      </c>
      <c r="AB93" s="379"/>
      <c r="AC93" s="380"/>
      <c r="AD93" s="381"/>
      <c r="AE93" s="437" t="str">
        <f>IF(TRIM(AD93)="", "", IF(VLOOKUP(AD93,'Footnotes list'!$D$9:$E$58,2,FALSE)=0,"",VLOOKUP(AD93,'Footnotes list'!$D$9:$E$58,2,FALSE) ) )</f>
        <v/>
      </c>
      <c r="AF93" s="378"/>
      <c r="AG93" s="379"/>
      <c r="AH93" s="380"/>
      <c r="AI93" s="381"/>
      <c r="AJ93" s="437" t="str">
        <f>IF(TRIM(AI93)="", "", IF(VLOOKUP(AI93,'Footnotes list'!$D$9:$E$58,2,FALSE)=0,"",VLOOKUP(AI93,'Footnotes list'!$D$9:$E$58,2,FALSE) ) )</f>
        <v/>
      </c>
      <c r="AK93" s="378"/>
      <c r="AL93" s="379"/>
      <c r="AM93" s="380"/>
      <c r="AN93" s="381"/>
      <c r="AO93" s="437" t="str">
        <f>IF(TRIM(AN93)="", "", IF(VLOOKUP(AN93,'Footnotes list'!$D$9:$E$58,2,FALSE)=0,"",VLOOKUP(AN93,'Footnotes list'!$D$9:$E$58,2,FALSE) ) )</f>
        <v/>
      </c>
      <c r="AP93" s="399" t="str">
        <f>IF(AND(TRIM(AF93)="",TRIM(AK93)=""),"",AF93+AK93)</f>
        <v/>
      </c>
      <c r="AQ93" s="379"/>
      <c r="AR93" s="380"/>
      <c r="AS93" s="381"/>
      <c r="AT93" s="437" t="str">
        <f>IF(TRIM(AS93)="", "", IF(VLOOKUP(AS93,'Footnotes list'!$D$9:$E$58,2,FALSE)=0,"",VLOOKUP(AS93,'Footnotes list'!$D$9:$E$58,2,FALSE) ) )</f>
        <v/>
      </c>
      <c r="AU93" s="438" t="str">
        <f>IF(AND(TRIM(G93)="",TRIM(L93)="",TRIM(AA93)="",TRIM(AP93)=""),"",SUM(G93,L93,AA93,AP93))</f>
        <v/>
      </c>
      <c r="AV93" s="379"/>
      <c r="AW93" s="380"/>
      <c r="AX93" s="381"/>
      <c r="AY93" s="437" t="str">
        <f>IF(TRIM(AX93)="", "", IF(VLOOKUP(AX93,'Footnotes list'!$D$9:$E$58,2,FALSE)=0,"",VLOOKUP(AX93,'Footnotes list'!$D$9:$E$58,2,FALSE) ) )</f>
        <v/>
      </c>
    </row>
    <row r="94" spans="2:51" ht="15" customHeight="1" thickBot="1" x14ac:dyDescent="0.4">
      <c r="B94" s="542"/>
      <c r="C94" s="427" t="s">
        <v>138</v>
      </c>
      <c r="D94" s="545"/>
      <c r="E94" s="422" t="s">
        <v>146</v>
      </c>
      <c r="F94" s="428" t="s">
        <v>234</v>
      </c>
      <c r="G94" s="394" t="str">
        <f>IF(AND(TRIM(G92)="",TRIM(G93)=""),"",G92+G93)</f>
        <v/>
      </c>
      <c r="H94" s="379"/>
      <c r="I94" s="380"/>
      <c r="J94" s="381"/>
      <c r="K94" s="437" t="str">
        <f>IF(TRIM(J94)="", "", IF(VLOOKUP(J94,'Footnotes list'!$D$9:$E$58,2,FALSE)=0,"",VLOOKUP(J94,'Footnotes list'!$D$9:$E$58,2,FALSE) ) )</f>
        <v/>
      </c>
      <c r="L94" s="394" t="str">
        <f>IF(AND(TRIM(L92)="",TRIM(L93)=""),"",L92+L93)</f>
        <v/>
      </c>
      <c r="M94" s="379"/>
      <c r="N94" s="380"/>
      <c r="O94" s="381"/>
      <c r="P94" s="437" t="str">
        <f>IF(TRIM(O94)="", "", IF(VLOOKUP(O94,'Footnotes list'!$D$9:$E$58,2,FALSE)=0,"",VLOOKUP(O94,'Footnotes list'!$D$9:$E$58,2,FALSE) ) )</f>
        <v/>
      </c>
      <c r="Q94" s="394" t="str">
        <f>IF(AND(TRIM(Q92)="",TRIM(Q93)=""),"",Q92+Q93)</f>
        <v/>
      </c>
      <c r="R94" s="379"/>
      <c r="S94" s="380"/>
      <c r="T94" s="381"/>
      <c r="U94" s="437" t="str">
        <f>IF(TRIM(T94)="", "", IF(VLOOKUP(T94,'Footnotes list'!$D$9:$E$58,2,FALSE)=0,"",VLOOKUP(T94,'Footnotes list'!$D$9:$E$58,2,FALSE) ) )</f>
        <v/>
      </c>
      <c r="V94" s="394" t="str">
        <f>IF(AND(TRIM(V92)="",TRIM(V93)=""),"",V92+V93)</f>
        <v/>
      </c>
      <c r="W94" s="379"/>
      <c r="X94" s="380"/>
      <c r="Y94" s="381"/>
      <c r="Z94" s="437" t="str">
        <f>IF(TRIM(Y94)="", "", IF(VLOOKUP(Y94,'Footnotes list'!$D$9:$E$58,2,FALSE)=0,"",VLOOKUP(Y94,'Footnotes list'!$D$9:$E$58,2,FALSE) ) )</f>
        <v/>
      </c>
      <c r="AA94" s="394" t="str">
        <f>IF(AND(TRIM(AA92)="", TRIM(AA93)=""), "", SUM(AA92,AA93))</f>
        <v/>
      </c>
      <c r="AB94" s="379"/>
      <c r="AC94" s="380"/>
      <c r="AD94" s="381"/>
      <c r="AE94" s="437" t="str">
        <f>IF(TRIM(AD94)="", "", IF(VLOOKUP(AD94,'Footnotes list'!$D$9:$E$58,2,FALSE)=0,"",VLOOKUP(AD94,'Footnotes list'!$D$9:$E$58,2,FALSE) ) )</f>
        <v/>
      </c>
      <c r="AF94" s="394" t="str">
        <f>IF(AND(TRIM(AF92)="",TRIM(AF93)=""),"",AF92+AF93)</f>
        <v/>
      </c>
      <c r="AG94" s="379"/>
      <c r="AH94" s="380"/>
      <c r="AI94" s="381"/>
      <c r="AJ94" s="437" t="str">
        <f>IF(TRIM(AI94)="", "", IF(VLOOKUP(AI94,'Footnotes list'!$D$9:$E$58,2,FALSE)=0,"",VLOOKUP(AI94,'Footnotes list'!$D$9:$E$58,2,FALSE) ) )</f>
        <v/>
      </c>
      <c r="AK94" s="394" t="str">
        <f>IF(AND(TRIM(AK92)="",TRIM(AK93)=""),"",AK92+AK93)</f>
        <v/>
      </c>
      <c r="AL94" s="379"/>
      <c r="AM94" s="380"/>
      <c r="AN94" s="381"/>
      <c r="AO94" s="437" t="str">
        <f>IF(TRIM(AN94)="", "", IF(VLOOKUP(AN94,'Footnotes list'!$D$9:$E$58,2,FALSE)=0,"",VLOOKUP(AN94,'Footnotes list'!$D$9:$E$58,2,FALSE) ) )</f>
        <v/>
      </c>
      <c r="AP94" s="394" t="str">
        <f>IF(AND(TRIM(AP92)="", TRIM(AP93)=""), "", SUM(AP92,AP93))</f>
        <v/>
      </c>
      <c r="AQ94" s="379"/>
      <c r="AR94" s="380"/>
      <c r="AS94" s="381"/>
      <c r="AT94" s="437" t="str">
        <f>IF(TRIM(AS94)="", "", IF(VLOOKUP(AS94,'Footnotes list'!$D$9:$E$58,2,FALSE)=0,"",VLOOKUP(AS94,'Footnotes list'!$D$9:$E$58,2,FALSE) ) )</f>
        <v/>
      </c>
      <c r="AU94" s="394" t="str">
        <f>IF(AND(TRIM(AU92)="", TRIM(AU93)=""), "", SUM(AU92,AU93) )</f>
        <v/>
      </c>
      <c r="AV94" s="379"/>
      <c r="AW94" s="380"/>
      <c r="AX94" s="381"/>
      <c r="AY94" s="437" t="str">
        <f>IF(TRIM(AX94)="", "", IF(VLOOKUP(AX94,'Footnotes list'!$D$9:$E$58,2,FALSE)=0,"",VLOOKUP(AX94,'Footnotes list'!$D$9:$E$58,2,FALSE) ) )</f>
        <v/>
      </c>
    </row>
    <row r="95" spans="2:51" ht="15" customHeight="1" x14ac:dyDescent="0.35">
      <c r="B95" s="540" t="s">
        <v>139</v>
      </c>
      <c r="C95" s="416" t="s">
        <v>139</v>
      </c>
      <c r="D95" s="543" t="s">
        <v>102</v>
      </c>
      <c r="E95" s="417" t="s">
        <v>144</v>
      </c>
      <c r="F95" s="418" t="s">
        <v>151</v>
      </c>
      <c r="G95" s="372"/>
      <c r="H95" s="373"/>
      <c r="I95" s="374"/>
      <c r="J95" s="375"/>
      <c r="K95" s="433" t="str">
        <f>IF(TRIM(J95)="", "", IF(VLOOKUP(J95,'Footnotes list'!$D$9:$E$58,2,FALSE)=0,"",VLOOKUP(J95,'Footnotes list'!$D$9:$E$58,2,FALSE) ) )</f>
        <v/>
      </c>
      <c r="L95" s="372"/>
      <c r="M95" s="373"/>
      <c r="N95" s="374"/>
      <c r="O95" s="375"/>
      <c r="P95" s="433" t="str">
        <f>IF(TRIM(O95)="", "", IF(VLOOKUP(O95,'Footnotes list'!$D$9:$E$58,2,FALSE)=0,"",VLOOKUP(O95,'Footnotes list'!$D$9:$E$58,2,FALSE) ) )</f>
        <v/>
      </c>
      <c r="Q95" s="372"/>
      <c r="R95" s="373"/>
      <c r="S95" s="374"/>
      <c r="T95" s="375"/>
      <c r="U95" s="433" t="str">
        <f>IF(TRIM(T95)="", "", IF(VLOOKUP(T95,'Footnotes list'!$D$9:$E$58,2,FALSE)=0,"",VLOOKUP(T95,'Footnotes list'!$D$9:$E$58,2,FALSE) ) )</f>
        <v/>
      </c>
      <c r="V95" s="372"/>
      <c r="W95" s="373"/>
      <c r="X95" s="374"/>
      <c r="Y95" s="375"/>
      <c r="Z95" s="433" t="str">
        <f>IF(TRIM(Y95)="", "", IF(VLOOKUP(Y95,'Footnotes list'!$D$9:$E$58,2,FALSE)=0,"",VLOOKUP(Y95,'Footnotes list'!$D$9:$E$58,2,FALSE) ) )</f>
        <v/>
      </c>
      <c r="AA95" s="400" t="str">
        <f>IF(AND(TRIM(Q95)="",TRIM(V95)=""),"",Q95+V95)</f>
        <v/>
      </c>
      <c r="AB95" s="373"/>
      <c r="AC95" s="374"/>
      <c r="AD95" s="375"/>
      <c r="AE95" s="433" t="str">
        <f>IF(TRIM(AD95)="", "", IF(VLOOKUP(AD95,'Footnotes list'!$D$9:$E$58,2,FALSE)=0,"",VLOOKUP(AD95,'Footnotes list'!$D$9:$E$58,2,FALSE) ) )</f>
        <v/>
      </c>
      <c r="AF95" s="372"/>
      <c r="AG95" s="373"/>
      <c r="AH95" s="374"/>
      <c r="AI95" s="375"/>
      <c r="AJ95" s="433" t="str">
        <f>IF(TRIM(AI95)="", "", IF(VLOOKUP(AI95,'Footnotes list'!$D$9:$E$58,2,FALSE)=0,"",VLOOKUP(AI95,'Footnotes list'!$D$9:$E$58,2,FALSE) ) )</f>
        <v/>
      </c>
      <c r="AK95" s="372"/>
      <c r="AL95" s="373"/>
      <c r="AM95" s="374"/>
      <c r="AN95" s="375"/>
      <c r="AO95" s="433" t="str">
        <f>IF(TRIM(AN95)="", "", IF(VLOOKUP(AN95,'Footnotes list'!$D$9:$E$58,2,FALSE)=0,"",VLOOKUP(AN95,'Footnotes list'!$D$9:$E$58,2,FALSE) ) )</f>
        <v/>
      </c>
      <c r="AP95" s="400" t="str">
        <f>IF(AND(TRIM(AF95)="",TRIM(AK95)=""),"",AF95+AK95)</f>
        <v/>
      </c>
      <c r="AQ95" s="373"/>
      <c r="AR95" s="374"/>
      <c r="AS95" s="375"/>
      <c r="AT95" s="433" t="str">
        <f>IF(TRIM(AS95)="", "", IF(VLOOKUP(AS95,'Footnotes list'!$D$9:$E$58,2,FALSE)=0,"",VLOOKUP(AS95,'Footnotes list'!$D$9:$E$58,2,FALSE) ) )</f>
        <v/>
      </c>
      <c r="AU95" s="400" t="str">
        <f>IF(AND(TRIM(G95)="",TRIM(L95)="",TRIM(AA95)="",TRIM(AP95)=""),"",SUM(G95,L95,AA95,AP95))</f>
        <v/>
      </c>
      <c r="AV95" s="373"/>
      <c r="AW95" s="374"/>
      <c r="AX95" s="375"/>
      <c r="AY95" s="433" t="str">
        <f>IF(TRIM(AX95)="", "", IF(VLOOKUP(AX95,'Footnotes list'!$D$9:$E$58,2,FALSE)=0,"",VLOOKUP(AX95,'Footnotes list'!$D$9:$E$58,2,FALSE) ) )</f>
        <v/>
      </c>
    </row>
    <row r="96" spans="2:51" ht="15" customHeight="1" x14ac:dyDescent="0.35">
      <c r="B96" s="541"/>
      <c r="C96" s="424" t="s">
        <v>139</v>
      </c>
      <c r="D96" s="544"/>
      <c r="E96" s="425" t="s">
        <v>145</v>
      </c>
      <c r="F96" s="426" t="s">
        <v>152</v>
      </c>
      <c r="G96" s="378"/>
      <c r="H96" s="379"/>
      <c r="I96" s="380"/>
      <c r="J96" s="381"/>
      <c r="K96" s="437" t="str">
        <f>IF(TRIM(J96)="", "", IF(VLOOKUP(J96,'Footnotes list'!$D$9:$E$58,2,FALSE)=0,"",VLOOKUP(J96,'Footnotes list'!$D$9:$E$58,2,FALSE) ) )</f>
        <v/>
      </c>
      <c r="L96" s="378"/>
      <c r="M96" s="379"/>
      <c r="N96" s="380"/>
      <c r="O96" s="381"/>
      <c r="P96" s="437" t="str">
        <f>IF(TRIM(O96)="", "", IF(VLOOKUP(O96,'Footnotes list'!$D$9:$E$58,2,FALSE)=0,"",VLOOKUP(O96,'Footnotes list'!$D$9:$E$58,2,FALSE) ) )</f>
        <v/>
      </c>
      <c r="Q96" s="378"/>
      <c r="R96" s="379"/>
      <c r="S96" s="380"/>
      <c r="T96" s="381"/>
      <c r="U96" s="437" t="str">
        <f>IF(TRIM(T96)="", "", IF(VLOOKUP(T96,'Footnotes list'!$D$9:$E$58,2,FALSE)=0,"",VLOOKUP(T96,'Footnotes list'!$D$9:$E$58,2,FALSE) ) )</f>
        <v/>
      </c>
      <c r="V96" s="378"/>
      <c r="W96" s="379"/>
      <c r="X96" s="380"/>
      <c r="Y96" s="381"/>
      <c r="Z96" s="437" t="str">
        <f>IF(TRIM(Y96)="", "", IF(VLOOKUP(Y96,'Footnotes list'!$D$9:$E$58,2,FALSE)=0,"",VLOOKUP(Y96,'Footnotes list'!$D$9:$E$58,2,FALSE) ) )</f>
        <v/>
      </c>
      <c r="AA96" s="399" t="str">
        <f>IF(AND(TRIM(Q96)="",TRIM(V96)=""),"",Q96+V96)</f>
        <v/>
      </c>
      <c r="AB96" s="379"/>
      <c r="AC96" s="380"/>
      <c r="AD96" s="381"/>
      <c r="AE96" s="437" t="str">
        <f>IF(TRIM(AD96)="", "", IF(VLOOKUP(AD96,'Footnotes list'!$D$9:$E$58,2,FALSE)=0,"",VLOOKUP(AD96,'Footnotes list'!$D$9:$E$58,2,FALSE) ) )</f>
        <v/>
      </c>
      <c r="AF96" s="378"/>
      <c r="AG96" s="379"/>
      <c r="AH96" s="380"/>
      <c r="AI96" s="381"/>
      <c r="AJ96" s="437" t="str">
        <f>IF(TRIM(AI96)="", "", IF(VLOOKUP(AI96,'Footnotes list'!$D$9:$E$58,2,FALSE)=0,"",VLOOKUP(AI96,'Footnotes list'!$D$9:$E$58,2,FALSE) ) )</f>
        <v/>
      </c>
      <c r="AK96" s="378"/>
      <c r="AL96" s="379"/>
      <c r="AM96" s="380"/>
      <c r="AN96" s="381"/>
      <c r="AO96" s="437" t="str">
        <f>IF(TRIM(AN96)="", "", IF(VLOOKUP(AN96,'Footnotes list'!$D$9:$E$58,2,FALSE)=0,"",VLOOKUP(AN96,'Footnotes list'!$D$9:$E$58,2,FALSE) ) )</f>
        <v/>
      </c>
      <c r="AP96" s="399" t="str">
        <f>IF(AND(TRIM(AF96)="",TRIM(AK96)=""),"",AF96+AK96)</f>
        <v/>
      </c>
      <c r="AQ96" s="379"/>
      <c r="AR96" s="380"/>
      <c r="AS96" s="381"/>
      <c r="AT96" s="437" t="str">
        <f>IF(TRIM(AS96)="", "", IF(VLOOKUP(AS96,'Footnotes list'!$D$9:$E$58,2,FALSE)=0,"",VLOOKUP(AS96,'Footnotes list'!$D$9:$E$58,2,FALSE) ) )</f>
        <v/>
      </c>
      <c r="AU96" s="438" t="str">
        <f>IF(AND(TRIM(G96)="",TRIM(L96)="",TRIM(AA96)="",TRIM(AP96)=""),"",SUM(G96,L96,AA96,AP96))</f>
        <v/>
      </c>
      <c r="AV96" s="379"/>
      <c r="AW96" s="380"/>
      <c r="AX96" s="381"/>
      <c r="AY96" s="437" t="str">
        <f>IF(TRIM(AX96)="", "", IF(VLOOKUP(AX96,'Footnotes list'!$D$9:$E$58,2,FALSE)=0,"",VLOOKUP(AX96,'Footnotes list'!$D$9:$E$58,2,FALSE) ) )</f>
        <v/>
      </c>
    </row>
    <row r="97" spans="2:51" ht="15" customHeight="1" thickBot="1" x14ac:dyDescent="0.4">
      <c r="B97" s="542"/>
      <c r="C97" s="427" t="s">
        <v>139</v>
      </c>
      <c r="D97" s="545"/>
      <c r="E97" s="422" t="s">
        <v>146</v>
      </c>
      <c r="F97" s="428" t="s">
        <v>234</v>
      </c>
      <c r="G97" s="394" t="str">
        <f>IF(AND(TRIM(G95)="",TRIM(G96)=""),"",G95+G96)</f>
        <v/>
      </c>
      <c r="H97" s="379"/>
      <c r="I97" s="380"/>
      <c r="J97" s="381"/>
      <c r="K97" s="437" t="str">
        <f>IF(TRIM(J97)="", "", IF(VLOOKUP(J97,'Footnotes list'!$D$9:$E$58,2,FALSE)=0,"",VLOOKUP(J97,'Footnotes list'!$D$9:$E$58,2,FALSE) ) )</f>
        <v/>
      </c>
      <c r="L97" s="394" t="str">
        <f>IF(AND(TRIM(L95)="",TRIM(L96)=""),"",L95+L96)</f>
        <v/>
      </c>
      <c r="M97" s="379"/>
      <c r="N97" s="380"/>
      <c r="O97" s="381"/>
      <c r="P97" s="437" t="str">
        <f>IF(TRIM(O97)="", "", IF(VLOOKUP(O97,'Footnotes list'!$D$9:$E$58,2,FALSE)=0,"",VLOOKUP(O97,'Footnotes list'!$D$9:$E$58,2,FALSE) ) )</f>
        <v/>
      </c>
      <c r="Q97" s="394" t="str">
        <f>IF(AND(TRIM(Q95)="",TRIM(Q96)=""),"",Q95+Q96)</f>
        <v/>
      </c>
      <c r="R97" s="379"/>
      <c r="S97" s="380"/>
      <c r="T97" s="381"/>
      <c r="U97" s="437" t="str">
        <f>IF(TRIM(T97)="", "", IF(VLOOKUP(T97,'Footnotes list'!$D$9:$E$58,2,FALSE)=0,"",VLOOKUP(T97,'Footnotes list'!$D$9:$E$58,2,FALSE) ) )</f>
        <v/>
      </c>
      <c r="V97" s="394" t="str">
        <f>IF(AND(TRIM(V95)="",TRIM(V96)=""),"",V95+V96)</f>
        <v/>
      </c>
      <c r="W97" s="379"/>
      <c r="X97" s="380"/>
      <c r="Y97" s="381"/>
      <c r="Z97" s="437" t="str">
        <f>IF(TRIM(Y97)="", "", IF(VLOOKUP(Y97,'Footnotes list'!$D$9:$E$58,2,FALSE)=0,"",VLOOKUP(Y97,'Footnotes list'!$D$9:$E$58,2,FALSE) ) )</f>
        <v/>
      </c>
      <c r="AA97" s="394" t="str">
        <f>IF(AND(TRIM(AA95)="", TRIM(AA96)=""), "", SUM(AA95,AA96))</f>
        <v/>
      </c>
      <c r="AB97" s="379"/>
      <c r="AC97" s="380"/>
      <c r="AD97" s="381"/>
      <c r="AE97" s="437" t="str">
        <f>IF(TRIM(AD97)="", "", IF(VLOOKUP(AD97,'Footnotes list'!$D$9:$E$58,2,FALSE)=0,"",VLOOKUP(AD97,'Footnotes list'!$D$9:$E$58,2,FALSE) ) )</f>
        <v/>
      </c>
      <c r="AF97" s="394" t="str">
        <f>IF(AND(TRIM(AF95)="",TRIM(AF96)=""),"",AF95+AF96)</f>
        <v/>
      </c>
      <c r="AG97" s="379"/>
      <c r="AH97" s="380"/>
      <c r="AI97" s="381"/>
      <c r="AJ97" s="437" t="str">
        <f>IF(TRIM(AI97)="", "", IF(VLOOKUP(AI97,'Footnotes list'!$D$9:$E$58,2,FALSE)=0,"",VLOOKUP(AI97,'Footnotes list'!$D$9:$E$58,2,FALSE) ) )</f>
        <v/>
      </c>
      <c r="AK97" s="394" t="str">
        <f>IF(AND(TRIM(AK95)="",TRIM(AK96)=""),"",AK95+AK96)</f>
        <v/>
      </c>
      <c r="AL97" s="379"/>
      <c r="AM97" s="380"/>
      <c r="AN97" s="381"/>
      <c r="AO97" s="437" t="str">
        <f>IF(TRIM(AN97)="", "", IF(VLOOKUP(AN97,'Footnotes list'!$D$9:$E$58,2,FALSE)=0,"",VLOOKUP(AN97,'Footnotes list'!$D$9:$E$58,2,FALSE) ) )</f>
        <v/>
      </c>
      <c r="AP97" s="394" t="str">
        <f>IF(AND(TRIM(AP95)="", TRIM(AP96)=""), "", SUM(AP95,AP96))</f>
        <v/>
      </c>
      <c r="AQ97" s="379"/>
      <c r="AR97" s="380"/>
      <c r="AS97" s="381"/>
      <c r="AT97" s="437" t="str">
        <f>IF(TRIM(AS97)="", "", IF(VLOOKUP(AS97,'Footnotes list'!$D$9:$E$58,2,FALSE)=0,"",VLOOKUP(AS97,'Footnotes list'!$D$9:$E$58,2,FALSE) ) )</f>
        <v/>
      </c>
      <c r="AU97" s="394" t="str">
        <f>IF(AND(TRIM(AU95)="", TRIM(AU96)=""), "", SUM(AU95,AU96) )</f>
        <v/>
      </c>
      <c r="AV97" s="379"/>
      <c r="AW97" s="380"/>
      <c r="AX97" s="381"/>
      <c r="AY97" s="437" t="str">
        <f>IF(TRIM(AX97)="", "", IF(VLOOKUP(AX97,'Footnotes list'!$D$9:$E$58,2,FALSE)=0,"",VLOOKUP(AX97,'Footnotes list'!$D$9:$E$58,2,FALSE) ) )</f>
        <v/>
      </c>
    </row>
    <row r="98" spans="2:51" ht="15" customHeight="1" x14ac:dyDescent="0.35">
      <c r="B98" s="540" t="s">
        <v>140</v>
      </c>
      <c r="C98" s="416" t="s">
        <v>140</v>
      </c>
      <c r="D98" s="543" t="s">
        <v>103</v>
      </c>
      <c r="E98" s="417" t="s">
        <v>144</v>
      </c>
      <c r="F98" s="418" t="s">
        <v>151</v>
      </c>
      <c r="G98" s="372"/>
      <c r="H98" s="373"/>
      <c r="I98" s="374"/>
      <c r="J98" s="375"/>
      <c r="K98" s="433" t="str">
        <f>IF(TRIM(J98)="", "", IF(VLOOKUP(J98,'Footnotes list'!$D$9:$E$58,2,FALSE)=0,"",VLOOKUP(J98,'Footnotes list'!$D$9:$E$58,2,FALSE) ) )</f>
        <v/>
      </c>
      <c r="L98" s="372"/>
      <c r="M98" s="373"/>
      <c r="N98" s="374"/>
      <c r="O98" s="375"/>
      <c r="P98" s="433" t="str">
        <f>IF(TRIM(O98)="", "", IF(VLOOKUP(O98,'Footnotes list'!$D$9:$E$58,2,FALSE)=0,"",VLOOKUP(O98,'Footnotes list'!$D$9:$E$58,2,FALSE) ) )</f>
        <v/>
      </c>
      <c r="Q98" s="372"/>
      <c r="R98" s="373"/>
      <c r="S98" s="374"/>
      <c r="T98" s="375"/>
      <c r="U98" s="433" t="str">
        <f>IF(TRIM(T98)="", "", IF(VLOOKUP(T98,'Footnotes list'!$D$9:$E$58,2,FALSE)=0,"",VLOOKUP(T98,'Footnotes list'!$D$9:$E$58,2,FALSE) ) )</f>
        <v/>
      </c>
      <c r="V98" s="372"/>
      <c r="W98" s="373"/>
      <c r="X98" s="374"/>
      <c r="Y98" s="375"/>
      <c r="Z98" s="433" t="str">
        <f>IF(TRIM(Y98)="", "", IF(VLOOKUP(Y98,'Footnotes list'!$D$9:$E$58,2,FALSE)=0,"",VLOOKUP(Y98,'Footnotes list'!$D$9:$E$58,2,FALSE) ) )</f>
        <v/>
      </c>
      <c r="AA98" s="400" t="str">
        <f>IF(AND(TRIM(Q98)="",TRIM(V98)=""),"",Q98+V98)</f>
        <v/>
      </c>
      <c r="AB98" s="373"/>
      <c r="AC98" s="374"/>
      <c r="AD98" s="375"/>
      <c r="AE98" s="433" t="str">
        <f>IF(TRIM(AD98)="", "", IF(VLOOKUP(AD98,'Footnotes list'!$D$9:$E$58,2,FALSE)=0,"",VLOOKUP(AD98,'Footnotes list'!$D$9:$E$58,2,FALSE) ) )</f>
        <v/>
      </c>
      <c r="AF98" s="372"/>
      <c r="AG98" s="373"/>
      <c r="AH98" s="374"/>
      <c r="AI98" s="375"/>
      <c r="AJ98" s="433" t="str">
        <f>IF(TRIM(AI98)="", "", IF(VLOOKUP(AI98,'Footnotes list'!$D$9:$E$58,2,FALSE)=0,"",VLOOKUP(AI98,'Footnotes list'!$D$9:$E$58,2,FALSE) ) )</f>
        <v/>
      </c>
      <c r="AK98" s="372"/>
      <c r="AL98" s="373"/>
      <c r="AM98" s="374"/>
      <c r="AN98" s="375"/>
      <c r="AO98" s="433" t="str">
        <f>IF(TRIM(AN98)="", "", IF(VLOOKUP(AN98,'Footnotes list'!$D$9:$E$58,2,FALSE)=0,"",VLOOKUP(AN98,'Footnotes list'!$D$9:$E$58,2,FALSE) ) )</f>
        <v/>
      </c>
      <c r="AP98" s="400" t="str">
        <f>IF(AND(TRIM(AF98)="",TRIM(AK98)=""),"",AF98+AK98)</f>
        <v/>
      </c>
      <c r="AQ98" s="373"/>
      <c r="AR98" s="374"/>
      <c r="AS98" s="375"/>
      <c r="AT98" s="433" t="str">
        <f>IF(TRIM(AS98)="", "", IF(VLOOKUP(AS98,'Footnotes list'!$D$9:$E$58,2,FALSE)=0,"",VLOOKUP(AS98,'Footnotes list'!$D$9:$E$58,2,FALSE) ) )</f>
        <v/>
      </c>
      <c r="AU98" s="400" t="str">
        <f>IF(AND(TRIM(G98)="",TRIM(L98)="",TRIM(AA98)="",TRIM(AP98)=""),"",SUM(G98,L98,AA98,AP98))</f>
        <v/>
      </c>
      <c r="AV98" s="373"/>
      <c r="AW98" s="374"/>
      <c r="AX98" s="375"/>
      <c r="AY98" s="433" t="str">
        <f>IF(TRIM(AX98)="", "", IF(VLOOKUP(AX98,'Footnotes list'!$D$9:$E$58,2,FALSE)=0,"",VLOOKUP(AX98,'Footnotes list'!$D$9:$E$58,2,FALSE) ) )</f>
        <v/>
      </c>
    </row>
    <row r="99" spans="2:51" ht="15" customHeight="1" x14ac:dyDescent="0.35">
      <c r="B99" s="541"/>
      <c r="C99" s="424" t="s">
        <v>140</v>
      </c>
      <c r="D99" s="544"/>
      <c r="E99" s="425" t="s">
        <v>145</v>
      </c>
      <c r="F99" s="426" t="s">
        <v>152</v>
      </c>
      <c r="G99" s="378"/>
      <c r="H99" s="379"/>
      <c r="I99" s="380"/>
      <c r="J99" s="381"/>
      <c r="K99" s="437" t="str">
        <f>IF(TRIM(J99)="", "", IF(VLOOKUP(J99,'Footnotes list'!$D$9:$E$58,2,FALSE)=0,"",VLOOKUP(J99,'Footnotes list'!$D$9:$E$58,2,FALSE) ) )</f>
        <v/>
      </c>
      <c r="L99" s="378"/>
      <c r="M99" s="379"/>
      <c r="N99" s="380"/>
      <c r="O99" s="381"/>
      <c r="P99" s="437" t="str">
        <f>IF(TRIM(O99)="", "", IF(VLOOKUP(O99,'Footnotes list'!$D$9:$E$58,2,FALSE)=0,"",VLOOKUP(O99,'Footnotes list'!$D$9:$E$58,2,FALSE) ) )</f>
        <v/>
      </c>
      <c r="Q99" s="378"/>
      <c r="R99" s="379"/>
      <c r="S99" s="380"/>
      <c r="T99" s="381"/>
      <c r="U99" s="437" t="str">
        <f>IF(TRIM(T99)="", "", IF(VLOOKUP(T99,'Footnotes list'!$D$9:$E$58,2,FALSE)=0,"",VLOOKUP(T99,'Footnotes list'!$D$9:$E$58,2,FALSE) ) )</f>
        <v/>
      </c>
      <c r="V99" s="378"/>
      <c r="W99" s="379"/>
      <c r="X99" s="380"/>
      <c r="Y99" s="381"/>
      <c r="Z99" s="437" t="str">
        <f>IF(TRIM(Y99)="", "", IF(VLOOKUP(Y99,'Footnotes list'!$D$9:$E$58,2,FALSE)=0,"",VLOOKUP(Y99,'Footnotes list'!$D$9:$E$58,2,FALSE) ) )</f>
        <v/>
      </c>
      <c r="AA99" s="399" t="str">
        <f>IF(AND(TRIM(Q99)="",TRIM(V99)=""),"",Q99+V99)</f>
        <v/>
      </c>
      <c r="AB99" s="379"/>
      <c r="AC99" s="380"/>
      <c r="AD99" s="381"/>
      <c r="AE99" s="437" t="str">
        <f>IF(TRIM(AD99)="", "", IF(VLOOKUP(AD99,'Footnotes list'!$D$9:$E$58,2,FALSE)=0,"",VLOOKUP(AD99,'Footnotes list'!$D$9:$E$58,2,FALSE) ) )</f>
        <v/>
      </c>
      <c r="AF99" s="378"/>
      <c r="AG99" s="379"/>
      <c r="AH99" s="380"/>
      <c r="AI99" s="381"/>
      <c r="AJ99" s="437" t="str">
        <f>IF(TRIM(AI99)="", "", IF(VLOOKUP(AI99,'Footnotes list'!$D$9:$E$58,2,FALSE)=0,"",VLOOKUP(AI99,'Footnotes list'!$D$9:$E$58,2,FALSE) ) )</f>
        <v/>
      </c>
      <c r="AK99" s="378"/>
      <c r="AL99" s="379"/>
      <c r="AM99" s="380"/>
      <c r="AN99" s="381"/>
      <c r="AO99" s="437" t="str">
        <f>IF(TRIM(AN99)="", "", IF(VLOOKUP(AN99,'Footnotes list'!$D$9:$E$58,2,FALSE)=0,"",VLOOKUP(AN99,'Footnotes list'!$D$9:$E$58,2,FALSE) ) )</f>
        <v/>
      </c>
      <c r="AP99" s="399" t="str">
        <f>IF(AND(TRIM(AF99)="",TRIM(AK99)=""),"",AF99+AK99)</f>
        <v/>
      </c>
      <c r="AQ99" s="379"/>
      <c r="AR99" s="380"/>
      <c r="AS99" s="381"/>
      <c r="AT99" s="437" t="str">
        <f>IF(TRIM(AS99)="", "", IF(VLOOKUP(AS99,'Footnotes list'!$D$9:$E$58,2,FALSE)=0,"",VLOOKUP(AS99,'Footnotes list'!$D$9:$E$58,2,FALSE) ) )</f>
        <v/>
      </c>
      <c r="AU99" s="438" t="str">
        <f>IF(AND(TRIM(G99)="",TRIM(L99)="",TRIM(AA99)="",TRIM(AP99)=""),"",SUM(G99,L99,AA99,AP99))</f>
        <v/>
      </c>
      <c r="AV99" s="379"/>
      <c r="AW99" s="380"/>
      <c r="AX99" s="381"/>
      <c r="AY99" s="437" t="str">
        <f>IF(TRIM(AX99)="", "", IF(VLOOKUP(AX99,'Footnotes list'!$D$9:$E$58,2,FALSE)=0,"",VLOOKUP(AX99,'Footnotes list'!$D$9:$E$58,2,FALSE) ) )</f>
        <v/>
      </c>
    </row>
    <row r="100" spans="2:51" ht="15" customHeight="1" thickBot="1" x14ac:dyDescent="0.4">
      <c r="B100" s="542"/>
      <c r="C100" s="427" t="s">
        <v>140</v>
      </c>
      <c r="D100" s="545"/>
      <c r="E100" s="422" t="s">
        <v>146</v>
      </c>
      <c r="F100" s="428" t="s">
        <v>234</v>
      </c>
      <c r="G100" s="394" t="str">
        <f>IF(AND(TRIM(G98)="",TRIM(G99)=""),"",G98+G99)</f>
        <v/>
      </c>
      <c r="H100" s="379"/>
      <c r="I100" s="380"/>
      <c r="J100" s="381"/>
      <c r="K100" s="437" t="str">
        <f>IF(TRIM(J100)="", "", IF(VLOOKUP(J100,'Footnotes list'!$D$9:$E$58,2,FALSE)=0,"",VLOOKUP(J100,'Footnotes list'!$D$9:$E$58,2,FALSE) ) )</f>
        <v/>
      </c>
      <c r="L100" s="394" t="str">
        <f>IF(AND(TRIM(L98)="",TRIM(L99)=""),"",L98+L99)</f>
        <v/>
      </c>
      <c r="M100" s="379"/>
      <c r="N100" s="380"/>
      <c r="O100" s="381"/>
      <c r="P100" s="437" t="str">
        <f>IF(TRIM(O100)="", "", IF(VLOOKUP(O100,'Footnotes list'!$D$9:$E$58,2,FALSE)=0,"",VLOOKUP(O100,'Footnotes list'!$D$9:$E$58,2,FALSE) ) )</f>
        <v/>
      </c>
      <c r="Q100" s="394" t="str">
        <f>IF(AND(TRIM(Q98)="",TRIM(Q99)=""),"",Q98+Q99)</f>
        <v/>
      </c>
      <c r="R100" s="379"/>
      <c r="S100" s="380"/>
      <c r="T100" s="381"/>
      <c r="U100" s="437" t="str">
        <f>IF(TRIM(T100)="", "", IF(VLOOKUP(T100,'Footnotes list'!$D$9:$E$58,2,FALSE)=0,"",VLOOKUP(T100,'Footnotes list'!$D$9:$E$58,2,FALSE) ) )</f>
        <v/>
      </c>
      <c r="V100" s="394" t="str">
        <f>IF(AND(TRIM(V98)="",TRIM(V99)=""),"",V98+V99)</f>
        <v/>
      </c>
      <c r="W100" s="379"/>
      <c r="X100" s="380"/>
      <c r="Y100" s="381"/>
      <c r="Z100" s="437" t="str">
        <f>IF(TRIM(Y100)="", "", IF(VLOOKUP(Y100,'Footnotes list'!$D$9:$E$58,2,FALSE)=0,"",VLOOKUP(Y100,'Footnotes list'!$D$9:$E$58,2,FALSE) ) )</f>
        <v/>
      </c>
      <c r="AA100" s="394" t="str">
        <f>IF(AND(TRIM(AA98)="", TRIM(AA99)=""), "", SUM(AA98,AA99))</f>
        <v/>
      </c>
      <c r="AB100" s="379"/>
      <c r="AC100" s="380"/>
      <c r="AD100" s="381"/>
      <c r="AE100" s="437" t="str">
        <f>IF(TRIM(AD100)="", "", IF(VLOOKUP(AD100,'Footnotes list'!$D$9:$E$58,2,FALSE)=0,"",VLOOKUP(AD100,'Footnotes list'!$D$9:$E$58,2,FALSE) ) )</f>
        <v/>
      </c>
      <c r="AF100" s="394" t="str">
        <f>IF(AND(TRIM(AF98)="",TRIM(AF99)=""),"",AF98+AF99)</f>
        <v/>
      </c>
      <c r="AG100" s="379"/>
      <c r="AH100" s="380"/>
      <c r="AI100" s="381"/>
      <c r="AJ100" s="437" t="str">
        <f>IF(TRIM(AI100)="", "", IF(VLOOKUP(AI100,'Footnotes list'!$D$9:$E$58,2,FALSE)=0,"",VLOOKUP(AI100,'Footnotes list'!$D$9:$E$58,2,FALSE) ) )</f>
        <v/>
      </c>
      <c r="AK100" s="394" t="str">
        <f>IF(AND(TRIM(AK98)="",TRIM(AK99)=""),"",AK98+AK99)</f>
        <v/>
      </c>
      <c r="AL100" s="379"/>
      <c r="AM100" s="380"/>
      <c r="AN100" s="381"/>
      <c r="AO100" s="437" t="str">
        <f>IF(TRIM(AN100)="", "", IF(VLOOKUP(AN100,'Footnotes list'!$D$9:$E$58,2,FALSE)=0,"",VLOOKUP(AN100,'Footnotes list'!$D$9:$E$58,2,FALSE) ) )</f>
        <v/>
      </c>
      <c r="AP100" s="394" t="str">
        <f>IF(AND(TRIM(AP98)="", TRIM(AP99)=""), "", SUM(AP98,AP99))</f>
        <v/>
      </c>
      <c r="AQ100" s="379"/>
      <c r="AR100" s="380"/>
      <c r="AS100" s="381"/>
      <c r="AT100" s="437" t="str">
        <f>IF(TRIM(AS100)="", "", IF(VLOOKUP(AS100,'Footnotes list'!$D$9:$E$58,2,FALSE)=0,"",VLOOKUP(AS100,'Footnotes list'!$D$9:$E$58,2,FALSE) ) )</f>
        <v/>
      </c>
      <c r="AU100" s="394" t="str">
        <f>IF(AND(TRIM(AU98)="", TRIM(AU99)=""), "", SUM(AU98,AU99) )</f>
        <v/>
      </c>
      <c r="AV100" s="379"/>
      <c r="AW100" s="380"/>
      <c r="AX100" s="381"/>
      <c r="AY100" s="437" t="str">
        <f>IF(TRIM(AX100)="", "", IF(VLOOKUP(AX100,'Footnotes list'!$D$9:$E$58,2,FALSE)=0,"",VLOOKUP(AX100,'Footnotes list'!$D$9:$E$58,2,FALSE) ) )</f>
        <v/>
      </c>
    </row>
    <row r="101" spans="2:51" ht="15" customHeight="1" x14ac:dyDescent="0.35">
      <c r="B101" s="540" t="s">
        <v>141</v>
      </c>
      <c r="C101" s="416" t="s">
        <v>141</v>
      </c>
      <c r="D101" s="543" t="s">
        <v>104</v>
      </c>
      <c r="E101" s="417" t="s">
        <v>144</v>
      </c>
      <c r="F101" s="418" t="s">
        <v>151</v>
      </c>
      <c r="G101" s="372"/>
      <c r="H101" s="373"/>
      <c r="I101" s="374"/>
      <c r="J101" s="375"/>
      <c r="K101" s="433" t="str">
        <f>IF(TRIM(J101)="", "", IF(VLOOKUP(J101,'Footnotes list'!$D$9:$E$58,2,FALSE)=0,"",VLOOKUP(J101,'Footnotes list'!$D$9:$E$58,2,FALSE) ) )</f>
        <v/>
      </c>
      <c r="L101" s="372"/>
      <c r="M101" s="373"/>
      <c r="N101" s="374"/>
      <c r="O101" s="375"/>
      <c r="P101" s="433" t="str">
        <f>IF(TRIM(O101)="", "", IF(VLOOKUP(O101,'Footnotes list'!$D$9:$E$58,2,FALSE)=0,"",VLOOKUP(O101,'Footnotes list'!$D$9:$E$58,2,FALSE) ) )</f>
        <v/>
      </c>
      <c r="Q101" s="372"/>
      <c r="R101" s="373"/>
      <c r="S101" s="374"/>
      <c r="T101" s="375"/>
      <c r="U101" s="433" t="str">
        <f>IF(TRIM(T101)="", "", IF(VLOOKUP(T101,'Footnotes list'!$D$9:$E$58,2,FALSE)=0,"",VLOOKUP(T101,'Footnotes list'!$D$9:$E$58,2,FALSE) ) )</f>
        <v/>
      </c>
      <c r="V101" s="372"/>
      <c r="W101" s="373"/>
      <c r="X101" s="374"/>
      <c r="Y101" s="375"/>
      <c r="Z101" s="433" t="str">
        <f>IF(TRIM(Y101)="", "", IF(VLOOKUP(Y101,'Footnotes list'!$D$9:$E$58,2,FALSE)=0,"",VLOOKUP(Y101,'Footnotes list'!$D$9:$E$58,2,FALSE) ) )</f>
        <v/>
      </c>
      <c r="AA101" s="400" t="str">
        <f>IF(AND(TRIM(Q101)="",TRIM(V101)=""),"",Q101+V101)</f>
        <v/>
      </c>
      <c r="AB101" s="373"/>
      <c r="AC101" s="374"/>
      <c r="AD101" s="375"/>
      <c r="AE101" s="433" t="str">
        <f>IF(TRIM(AD101)="", "", IF(VLOOKUP(AD101,'Footnotes list'!$D$9:$E$58,2,FALSE)=0,"",VLOOKUP(AD101,'Footnotes list'!$D$9:$E$58,2,FALSE) ) )</f>
        <v/>
      </c>
      <c r="AF101" s="372"/>
      <c r="AG101" s="373"/>
      <c r="AH101" s="374"/>
      <c r="AI101" s="375"/>
      <c r="AJ101" s="433" t="str">
        <f>IF(TRIM(AI101)="", "", IF(VLOOKUP(AI101,'Footnotes list'!$D$9:$E$58,2,FALSE)=0,"",VLOOKUP(AI101,'Footnotes list'!$D$9:$E$58,2,FALSE) ) )</f>
        <v/>
      </c>
      <c r="AK101" s="372"/>
      <c r="AL101" s="373"/>
      <c r="AM101" s="374"/>
      <c r="AN101" s="375"/>
      <c r="AO101" s="433" t="str">
        <f>IF(TRIM(AN101)="", "", IF(VLOOKUP(AN101,'Footnotes list'!$D$9:$E$58,2,FALSE)=0,"",VLOOKUP(AN101,'Footnotes list'!$D$9:$E$58,2,FALSE) ) )</f>
        <v/>
      </c>
      <c r="AP101" s="400" t="str">
        <f>IF(AND(TRIM(AF101)="",TRIM(AK101)=""),"",AF101+AK101)</f>
        <v/>
      </c>
      <c r="AQ101" s="373"/>
      <c r="AR101" s="374"/>
      <c r="AS101" s="375"/>
      <c r="AT101" s="433" t="str">
        <f>IF(TRIM(AS101)="", "", IF(VLOOKUP(AS101,'Footnotes list'!$D$9:$E$58,2,FALSE)=0,"",VLOOKUP(AS101,'Footnotes list'!$D$9:$E$58,2,FALSE) ) )</f>
        <v/>
      </c>
      <c r="AU101" s="400" t="str">
        <f>IF(AND(TRIM(G101)="",TRIM(L101)="",TRIM(AA101)="",TRIM(AP101)=""),"",SUM(G101,L101,AA101,AP101))</f>
        <v/>
      </c>
      <c r="AV101" s="373"/>
      <c r="AW101" s="374"/>
      <c r="AX101" s="375"/>
      <c r="AY101" s="433" t="str">
        <f>IF(TRIM(AX101)="", "", IF(VLOOKUP(AX101,'Footnotes list'!$D$9:$E$58,2,FALSE)=0,"",VLOOKUP(AX101,'Footnotes list'!$D$9:$E$58,2,FALSE) ) )</f>
        <v/>
      </c>
    </row>
    <row r="102" spans="2:51" ht="15" customHeight="1" x14ac:dyDescent="0.35">
      <c r="B102" s="541"/>
      <c r="C102" s="424" t="s">
        <v>141</v>
      </c>
      <c r="D102" s="544"/>
      <c r="E102" s="425" t="s">
        <v>145</v>
      </c>
      <c r="F102" s="426" t="s">
        <v>152</v>
      </c>
      <c r="G102" s="378"/>
      <c r="H102" s="379"/>
      <c r="I102" s="380"/>
      <c r="J102" s="381"/>
      <c r="K102" s="437" t="str">
        <f>IF(TRIM(J102)="", "", IF(VLOOKUP(J102,'Footnotes list'!$D$9:$E$58,2,FALSE)=0,"",VLOOKUP(J102,'Footnotes list'!$D$9:$E$58,2,FALSE) ) )</f>
        <v/>
      </c>
      <c r="L102" s="378"/>
      <c r="M102" s="379"/>
      <c r="N102" s="380"/>
      <c r="O102" s="381"/>
      <c r="P102" s="437" t="str">
        <f>IF(TRIM(O102)="", "", IF(VLOOKUP(O102,'Footnotes list'!$D$9:$E$58,2,FALSE)=0,"",VLOOKUP(O102,'Footnotes list'!$D$9:$E$58,2,FALSE) ) )</f>
        <v/>
      </c>
      <c r="Q102" s="378"/>
      <c r="R102" s="379"/>
      <c r="S102" s="380"/>
      <c r="T102" s="381"/>
      <c r="U102" s="437" t="str">
        <f>IF(TRIM(T102)="", "", IF(VLOOKUP(T102,'Footnotes list'!$D$9:$E$58,2,FALSE)=0,"",VLOOKUP(T102,'Footnotes list'!$D$9:$E$58,2,FALSE) ) )</f>
        <v/>
      </c>
      <c r="V102" s="378"/>
      <c r="W102" s="379"/>
      <c r="X102" s="380"/>
      <c r="Y102" s="381"/>
      <c r="Z102" s="437" t="str">
        <f>IF(TRIM(Y102)="", "", IF(VLOOKUP(Y102,'Footnotes list'!$D$9:$E$58,2,FALSE)=0,"",VLOOKUP(Y102,'Footnotes list'!$D$9:$E$58,2,FALSE) ) )</f>
        <v/>
      </c>
      <c r="AA102" s="399" t="str">
        <f>IF(AND(TRIM(Q102)="",TRIM(V102)=""),"",Q102+V102)</f>
        <v/>
      </c>
      <c r="AB102" s="379"/>
      <c r="AC102" s="380"/>
      <c r="AD102" s="381"/>
      <c r="AE102" s="437" t="str">
        <f>IF(TRIM(AD102)="", "", IF(VLOOKUP(AD102,'Footnotes list'!$D$9:$E$58,2,FALSE)=0,"",VLOOKUP(AD102,'Footnotes list'!$D$9:$E$58,2,FALSE) ) )</f>
        <v/>
      </c>
      <c r="AF102" s="378"/>
      <c r="AG102" s="379"/>
      <c r="AH102" s="380"/>
      <c r="AI102" s="381"/>
      <c r="AJ102" s="437" t="str">
        <f>IF(TRIM(AI102)="", "", IF(VLOOKUP(AI102,'Footnotes list'!$D$9:$E$58,2,FALSE)=0,"",VLOOKUP(AI102,'Footnotes list'!$D$9:$E$58,2,FALSE) ) )</f>
        <v/>
      </c>
      <c r="AK102" s="378"/>
      <c r="AL102" s="379"/>
      <c r="AM102" s="380"/>
      <c r="AN102" s="381"/>
      <c r="AO102" s="437" t="str">
        <f>IF(TRIM(AN102)="", "", IF(VLOOKUP(AN102,'Footnotes list'!$D$9:$E$58,2,FALSE)=0,"",VLOOKUP(AN102,'Footnotes list'!$D$9:$E$58,2,FALSE) ) )</f>
        <v/>
      </c>
      <c r="AP102" s="399" t="str">
        <f>IF(AND(TRIM(AF102)="",TRIM(AK102)=""),"",AF102+AK102)</f>
        <v/>
      </c>
      <c r="AQ102" s="379"/>
      <c r="AR102" s="380"/>
      <c r="AS102" s="381"/>
      <c r="AT102" s="437" t="str">
        <f>IF(TRIM(AS102)="", "", IF(VLOOKUP(AS102,'Footnotes list'!$D$9:$E$58,2,FALSE)=0,"",VLOOKUP(AS102,'Footnotes list'!$D$9:$E$58,2,FALSE) ) )</f>
        <v/>
      </c>
      <c r="AU102" s="438" t="str">
        <f>IF(AND(TRIM(G102)="",TRIM(L102)="",TRIM(AA102)="",TRIM(AP102)=""),"",SUM(G102,L102,AA102,AP102))</f>
        <v/>
      </c>
      <c r="AV102" s="379"/>
      <c r="AW102" s="380"/>
      <c r="AX102" s="381"/>
      <c r="AY102" s="437" t="str">
        <f>IF(TRIM(AX102)="", "", IF(VLOOKUP(AX102,'Footnotes list'!$D$9:$E$58,2,FALSE)=0,"",VLOOKUP(AX102,'Footnotes list'!$D$9:$E$58,2,FALSE) ) )</f>
        <v/>
      </c>
    </row>
    <row r="103" spans="2:51" ht="15" customHeight="1" thickBot="1" x14ac:dyDescent="0.4">
      <c r="B103" s="542"/>
      <c r="C103" s="427" t="s">
        <v>141</v>
      </c>
      <c r="D103" s="545"/>
      <c r="E103" s="422" t="s">
        <v>146</v>
      </c>
      <c r="F103" s="428" t="s">
        <v>234</v>
      </c>
      <c r="G103" s="394" t="str">
        <f>IF(AND(TRIM(G101)="",TRIM(G102)=""),"",G101+G102)</f>
        <v/>
      </c>
      <c r="H103" s="379"/>
      <c r="I103" s="380"/>
      <c r="J103" s="381"/>
      <c r="K103" s="437" t="str">
        <f>IF(TRIM(J103)="", "", IF(VLOOKUP(J103,'Footnotes list'!$D$9:$E$58,2,FALSE)=0,"",VLOOKUP(J103,'Footnotes list'!$D$9:$E$58,2,FALSE) ) )</f>
        <v/>
      </c>
      <c r="L103" s="394" t="str">
        <f>IF(AND(TRIM(L101)="",TRIM(L102)=""),"",L101+L102)</f>
        <v/>
      </c>
      <c r="M103" s="379"/>
      <c r="N103" s="380"/>
      <c r="O103" s="381"/>
      <c r="P103" s="437" t="str">
        <f>IF(TRIM(O103)="", "", IF(VLOOKUP(O103,'Footnotes list'!$D$9:$E$58,2,FALSE)=0,"",VLOOKUP(O103,'Footnotes list'!$D$9:$E$58,2,FALSE) ) )</f>
        <v/>
      </c>
      <c r="Q103" s="394" t="str">
        <f>IF(AND(TRIM(Q101)="",TRIM(Q102)=""),"",Q101+Q102)</f>
        <v/>
      </c>
      <c r="R103" s="379"/>
      <c r="S103" s="380"/>
      <c r="T103" s="381"/>
      <c r="U103" s="437" t="str">
        <f>IF(TRIM(T103)="", "", IF(VLOOKUP(T103,'Footnotes list'!$D$9:$E$58,2,FALSE)=0,"",VLOOKUP(T103,'Footnotes list'!$D$9:$E$58,2,FALSE) ) )</f>
        <v/>
      </c>
      <c r="V103" s="394" t="str">
        <f>IF(AND(TRIM(V101)="",TRIM(V102)=""),"",V101+V102)</f>
        <v/>
      </c>
      <c r="W103" s="379"/>
      <c r="X103" s="380"/>
      <c r="Y103" s="381"/>
      <c r="Z103" s="437" t="str">
        <f>IF(TRIM(Y103)="", "", IF(VLOOKUP(Y103,'Footnotes list'!$D$9:$E$58,2,FALSE)=0,"",VLOOKUP(Y103,'Footnotes list'!$D$9:$E$58,2,FALSE) ) )</f>
        <v/>
      </c>
      <c r="AA103" s="394" t="str">
        <f>IF(AND(TRIM(AA101)="", TRIM(AA102)=""), "", SUM(AA101,AA102))</f>
        <v/>
      </c>
      <c r="AB103" s="379"/>
      <c r="AC103" s="380"/>
      <c r="AD103" s="381"/>
      <c r="AE103" s="437" t="str">
        <f>IF(TRIM(AD103)="", "", IF(VLOOKUP(AD103,'Footnotes list'!$D$9:$E$58,2,FALSE)=0,"",VLOOKUP(AD103,'Footnotes list'!$D$9:$E$58,2,FALSE) ) )</f>
        <v/>
      </c>
      <c r="AF103" s="394" t="str">
        <f>IF(AND(TRIM(AF101)="",TRIM(AF102)=""),"",AF101+AF102)</f>
        <v/>
      </c>
      <c r="AG103" s="379"/>
      <c r="AH103" s="380"/>
      <c r="AI103" s="381"/>
      <c r="AJ103" s="437" t="str">
        <f>IF(TRIM(AI103)="", "", IF(VLOOKUP(AI103,'Footnotes list'!$D$9:$E$58,2,FALSE)=0,"",VLOOKUP(AI103,'Footnotes list'!$D$9:$E$58,2,FALSE) ) )</f>
        <v/>
      </c>
      <c r="AK103" s="394" t="str">
        <f>IF(AND(TRIM(AK101)="",TRIM(AK102)=""),"",AK101+AK102)</f>
        <v/>
      </c>
      <c r="AL103" s="379"/>
      <c r="AM103" s="380"/>
      <c r="AN103" s="381"/>
      <c r="AO103" s="437" t="str">
        <f>IF(TRIM(AN103)="", "", IF(VLOOKUP(AN103,'Footnotes list'!$D$9:$E$58,2,FALSE)=0,"",VLOOKUP(AN103,'Footnotes list'!$D$9:$E$58,2,FALSE) ) )</f>
        <v/>
      </c>
      <c r="AP103" s="394" t="str">
        <f>IF(AND(TRIM(AP101)="", TRIM(AP102)=""), "", SUM(AP101,AP102))</f>
        <v/>
      </c>
      <c r="AQ103" s="379"/>
      <c r="AR103" s="380"/>
      <c r="AS103" s="381"/>
      <c r="AT103" s="437" t="str">
        <f>IF(TRIM(AS103)="", "", IF(VLOOKUP(AS103,'Footnotes list'!$D$9:$E$58,2,FALSE)=0,"",VLOOKUP(AS103,'Footnotes list'!$D$9:$E$58,2,FALSE) ) )</f>
        <v/>
      </c>
      <c r="AU103" s="394" t="str">
        <f>IF(AND(TRIM(AU101)="", TRIM(AU102)=""), "", SUM(AU101,AU102) )</f>
        <v/>
      </c>
      <c r="AV103" s="379"/>
      <c r="AW103" s="380"/>
      <c r="AX103" s="381"/>
      <c r="AY103" s="437" t="str">
        <f>IF(TRIM(AX103)="", "", IF(VLOOKUP(AX103,'Footnotes list'!$D$9:$E$58,2,FALSE)=0,"",VLOOKUP(AX103,'Footnotes list'!$D$9:$E$58,2,FALSE) ) )</f>
        <v/>
      </c>
    </row>
    <row r="104" spans="2:51" ht="15" customHeight="1" x14ac:dyDescent="0.35">
      <c r="B104" s="540" t="s">
        <v>142</v>
      </c>
      <c r="C104" s="416" t="s">
        <v>142</v>
      </c>
      <c r="D104" s="543" t="s">
        <v>162</v>
      </c>
      <c r="E104" s="417" t="s">
        <v>144</v>
      </c>
      <c r="F104" s="418" t="s">
        <v>151</v>
      </c>
      <c r="G104" s="372"/>
      <c r="H104" s="373"/>
      <c r="I104" s="374"/>
      <c r="J104" s="375"/>
      <c r="K104" s="433" t="str">
        <f>IF(TRIM(J104)="", "", IF(VLOOKUP(J104,'Footnotes list'!$D$9:$E$58,2,FALSE)=0,"",VLOOKUP(J104,'Footnotes list'!$D$9:$E$58,2,FALSE) ) )</f>
        <v/>
      </c>
      <c r="L104" s="372"/>
      <c r="M104" s="373"/>
      <c r="N104" s="374"/>
      <c r="O104" s="375"/>
      <c r="P104" s="433" t="str">
        <f>IF(TRIM(O104)="", "", IF(VLOOKUP(O104,'Footnotes list'!$D$9:$E$58,2,FALSE)=0,"",VLOOKUP(O104,'Footnotes list'!$D$9:$E$58,2,FALSE) ) )</f>
        <v/>
      </c>
      <c r="Q104" s="372"/>
      <c r="R104" s="373"/>
      <c r="S104" s="374"/>
      <c r="T104" s="375"/>
      <c r="U104" s="433" t="str">
        <f>IF(TRIM(T104)="", "", IF(VLOOKUP(T104,'Footnotes list'!$D$9:$E$58,2,FALSE)=0,"",VLOOKUP(T104,'Footnotes list'!$D$9:$E$58,2,FALSE) ) )</f>
        <v/>
      </c>
      <c r="V104" s="372"/>
      <c r="W104" s="373"/>
      <c r="X104" s="374"/>
      <c r="Y104" s="375"/>
      <c r="Z104" s="433" t="str">
        <f>IF(TRIM(Y104)="", "", IF(VLOOKUP(Y104,'Footnotes list'!$D$9:$E$58,2,FALSE)=0,"",VLOOKUP(Y104,'Footnotes list'!$D$9:$E$58,2,FALSE) ) )</f>
        <v/>
      </c>
      <c r="AA104" s="400" t="str">
        <f>IF(AND(TRIM(Q104)="",TRIM(V104)=""),"",Q104+V104)</f>
        <v/>
      </c>
      <c r="AB104" s="373"/>
      <c r="AC104" s="374"/>
      <c r="AD104" s="375"/>
      <c r="AE104" s="433" t="str">
        <f>IF(TRIM(AD104)="", "", IF(VLOOKUP(AD104,'Footnotes list'!$D$9:$E$58,2,FALSE)=0,"",VLOOKUP(AD104,'Footnotes list'!$D$9:$E$58,2,FALSE) ) )</f>
        <v/>
      </c>
      <c r="AF104" s="372"/>
      <c r="AG104" s="373"/>
      <c r="AH104" s="374"/>
      <c r="AI104" s="375"/>
      <c r="AJ104" s="433" t="str">
        <f>IF(TRIM(AI104)="", "", IF(VLOOKUP(AI104,'Footnotes list'!$D$9:$E$58,2,FALSE)=0,"",VLOOKUP(AI104,'Footnotes list'!$D$9:$E$58,2,FALSE) ) )</f>
        <v/>
      </c>
      <c r="AK104" s="372"/>
      <c r="AL104" s="373"/>
      <c r="AM104" s="374"/>
      <c r="AN104" s="375"/>
      <c r="AO104" s="433" t="str">
        <f>IF(TRIM(AN104)="", "", IF(VLOOKUP(AN104,'Footnotes list'!$D$9:$E$58,2,FALSE)=0,"",VLOOKUP(AN104,'Footnotes list'!$D$9:$E$58,2,FALSE) ) )</f>
        <v/>
      </c>
      <c r="AP104" s="400" t="str">
        <f>IF(AND(TRIM(AF104)="",TRIM(AK104)=""),"",AF104+AK104)</f>
        <v/>
      </c>
      <c r="AQ104" s="373"/>
      <c r="AR104" s="374"/>
      <c r="AS104" s="375"/>
      <c r="AT104" s="433" t="str">
        <f>IF(TRIM(AS104)="", "", IF(VLOOKUP(AS104,'Footnotes list'!$D$9:$E$58,2,FALSE)=0,"",VLOOKUP(AS104,'Footnotes list'!$D$9:$E$58,2,FALSE) ) )</f>
        <v/>
      </c>
      <c r="AU104" s="400" t="str">
        <f>IF(AND(TRIM(G104)="",TRIM(L104)="",TRIM(AA104)="",TRIM(AP104)=""),"",SUM(G104,L104,AA104,AP104))</f>
        <v/>
      </c>
      <c r="AV104" s="373"/>
      <c r="AW104" s="374"/>
      <c r="AX104" s="375"/>
      <c r="AY104" s="433" t="str">
        <f>IF(TRIM(AX104)="", "", IF(VLOOKUP(AX104,'Footnotes list'!$D$9:$E$58,2,FALSE)=0,"",VLOOKUP(AX104,'Footnotes list'!$D$9:$E$58,2,FALSE) ) )</f>
        <v/>
      </c>
    </row>
    <row r="105" spans="2:51" ht="15" customHeight="1" x14ac:dyDescent="0.35">
      <c r="B105" s="541"/>
      <c r="C105" s="424" t="s">
        <v>142</v>
      </c>
      <c r="D105" s="544"/>
      <c r="E105" s="425" t="s">
        <v>145</v>
      </c>
      <c r="F105" s="426" t="s">
        <v>152</v>
      </c>
      <c r="G105" s="378"/>
      <c r="H105" s="379"/>
      <c r="I105" s="380"/>
      <c r="J105" s="381"/>
      <c r="K105" s="437" t="str">
        <f>IF(TRIM(J105)="", "", IF(VLOOKUP(J105,'Footnotes list'!$D$9:$E$58,2,FALSE)=0,"",VLOOKUP(J105,'Footnotes list'!$D$9:$E$58,2,FALSE) ) )</f>
        <v/>
      </c>
      <c r="L105" s="378"/>
      <c r="M105" s="379"/>
      <c r="N105" s="380"/>
      <c r="O105" s="381"/>
      <c r="P105" s="437" t="str">
        <f>IF(TRIM(O105)="", "", IF(VLOOKUP(O105,'Footnotes list'!$D$9:$E$58,2,FALSE)=0,"",VLOOKUP(O105,'Footnotes list'!$D$9:$E$58,2,FALSE) ) )</f>
        <v/>
      </c>
      <c r="Q105" s="378"/>
      <c r="R105" s="379"/>
      <c r="S105" s="380"/>
      <c r="T105" s="381"/>
      <c r="U105" s="437" t="str">
        <f>IF(TRIM(T105)="", "", IF(VLOOKUP(T105,'Footnotes list'!$D$9:$E$58,2,FALSE)=0,"",VLOOKUP(T105,'Footnotes list'!$D$9:$E$58,2,FALSE) ) )</f>
        <v/>
      </c>
      <c r="V105" s="378"/>
      <c r="W105" s="379"/>
      <c r="X105" s="380"/>
      <c r="Y105" s="381"/>
      <c r="Z105" s="437" t="str">
        <f>IF(TRIM(Y105)="", "", IF(VLOOKUP(Y105,'Footnotes list'!$D$9:$E$58,2,FALSE)=0,"",VLOOKUP(Y105,'Footnotes list'!$D$9:$E$58,2,FALSE) ) )</f>
        <v/>
      </c>
      <c r="AA105" s="399" t="str">
        <f>IF(AND(TRIM(Q105)="",TRIM(V105)=""),"",Q105+V105)</f>
        <v/>
      </c>
      <c r="AB105" s="379"/>
      <c r="AC105" s="380"/>
      <c r="AD105" s="381"/>
      <c r="AE105" s="437" t="str">
        <f>IF(TRIM(AD105)="", "", IF(VLOOKUP(AD105,'Footnotes list'!$D$9:$E$58,2,FALSE)=0,"",VLOOKUP(AD105,'Footnotes list'!$D$9:$E$58,2,FALSE) ) )</f>
        <v/>
      </c>
      <c r="AF105" s="378"/>
      <c r="AG105" s="379"/>
      <c r="AH105" s="380"/>
      <c r="AI105" s="381"/>
      <c r="AJ105" s="437" t="str">
        <f>IF(TRIM(AI105)="", "", IF(VLOOKUP(AI105,'Footnotes list'!$D$9:$E$58,2,FALSE)=0,"",VLOOKUP(AI105,'Footnotes list'!$D$9:$E$58,2,FALSE) ) )</f>
        <v/>
      </c>
      <c r="AK105" s="378"/>
      <c r="AL105" s="379"/>
      <c r="AM105" s="380"/>
      <c r="AN105" s="381"/>
      <c r="AO105" s="437" t="str">
        <f>IF(TRIM(AN105)="", "", IF(VLOOKUP(AN105,'Footnotes list'!$D$9:$E$58,2,FALSE)=0,"",VLOOKUP(AN105,'Footnotes list'!$D$9:$E$58,2,FALSE) ) )</f>
        <v/>
      </c>
      <c r="AP105" s="399" t="str">
        <f>IF(AND(TRIM(AF105)="",TRIM(AK105)=""),"",AF105+AK105)</f>
        <v/>
      </c>
      <c r="AQ105" s="379"/>
      <c r="AR105" s="380"/>
      <c r="AS105" s="381"/>
      <c r="AT105" s="437" t="str">
        <f>IF(TRIM(AS105)="", "", IF(VLOOKUP(AS105,'Footnotes list'!$D$9:$E$58,2,FALSE)=0,"",VLOOKUP(AS105,'Footnotes list'!$D$9:$E$58,2,FALSE) ) )</f>
        <v/>
      </c>
      <c r="AU105" s="438" t="str">
        <f>IF(AND(TRIM(G105)="",TRIM(L105)="",TRIM(AA105)="",TRIM(AP105)=""),"",SUM(G105,L105,AA105,AP105))</f>
        <v/>
      </c>
      <c r="AV105" s="379"/>
      <c r="AW105" s="380"/>
      <c r="AX105" s="381"/>
      <c r="AY105" s="437" t="str">
        <f>IF(TRIM(AX105)="", "", IF(VLOOKUP(AX105,'Footnotes list'!$D$9:$E$58,2,FALSE)=0,"",VLOOKUP(AX105,'Footnotes list'!$D$9:$E$58,2,FALSE) ) )</f>
        <v/>
      </c>
    </row>
    <row r="106" spans="2:51" ht="15" customHeight="1" thickBot="1" x14ac:dyDescent="0.4">
      <c r="B106" s="542"/>
      <c r="C106" s="427" t="s">
        <v>142</v>
      </c>
      <c r="D106" s="545"/>
      <c r="E106" s="422" t="s">
        <v>146</v>
      </c>
      <c r="F106" s="428" t="s">
        <v>234</v>
      </c>
      <c r="G106" s="394" t="str">
        <f>IF(AND(TRIM(G104)="",TRIM(G105)=""),"",G104+G105)</f>
        <v/>
      </c>
      <c r="H106" s="379"/>
      <c r="I106" s="380"/>
      <c r="J106" s="381"/>
      <c r="K106" s="437" t="str">
        <f>IF(TRIM(J106)="", "", IF(VLOOKUP(J106,'Footnotes list'!$D$9:$E$58,2,FALSE)=0,"",VLOOKUP(J106,'Footnotes list'!$D$9:$E$58,2,FALSE) ) )</f>
        <v/>
      </c>
      <c r="L106" s="394" t="str">
        <f>IF(AND(TRIM(L104)="",TRIM(L105)=""),"",L104+L105)</f>
        <v/>
      </c>
      <c r="M106" s="379"/>
      <c r="N106" s="380"/>
      <c r="O106" s="381"/>
      <c r="P106" s="437" t="str">
        <f>IF(TRIM(O106)="", "", IF(VLOOKUP(O106,'Footnotes list'!$D$9:$E$58,2,FALSE)=0,"",VLOOKUP(O106,'Footnotes list'!$D$9:$E$58,2,FALSE) ) )</f>
        <v/>
      </c>
      <c r="Q106" s="394" t="str">
        <f>IF(AND(TRIM(Q104)="",TRIM(Q105)=""),"",Q104+Q105)</f>
        <v/>
      </c>
      <c r="R106" s="379"/>
      <c r="S106" s="380"/>
      <c r="T106" s="381"/>
      <c r="U106" s="437" t="str">
        <f>IF(TRIM(T106)="", "", IF(VLOOKUP(T106,'Footnotes list'!$D$9:$E$58,2,FALSE)=0,"",VLOOKUP(T106,'Footnotes list'!$D$9:$E$58,2,FALSE) ) )</f>
        <v/>
      </c>
      <c r="V106" s="394" t="str">
        <f>IF(AND(TRIM(V104)="",TRIM(V105)=""),"",V104+V105)</f>
        <v/>
      </c>
      <c r="W106" s="379"/>
      <c r="X106" s="380"/>
      <c r="Y106" s="381"/>
      <c r="Z106" s="437" t="str">
        <f>IF(TRIM(Y106)="", "", IF(VLOOKUP(Y106,'Footnotes list'!$D$9:$E$58,2,FALSE)=0,"",VLOOKUP(Y106,'Footnotes list'!$D$9:$E$58,2,FALSE) ) )</f>
        <v/>
      </c>
      <c r="AA106" s="394" t="str">
        <f>IF(AND(TRIM(AA104)="", TRIM(AA105)=""), "", SUM(AA104,AA105))</f>
        <v/>
      </c>
      <c r="AB106" s="379"/>
      <c r="AC106" s="380"/>
      <c r="AD106" s="381"/>
      <c r="AE106" s="437" t="str">
        <f>IF(TRIM(AD106)="", "", IF(VLOOKUP(AD106,'Footnotes list'!$D$9:$E$58,2,FALSE)=0,"",VLOOKUP(AD106,'Footnotes list'!$D$9:$E$58,2,FALSE) ) )</f>
        <v/>
      </c>
      <c r="AF106" s="394" t="str">
        <f>IF(AND(TRIM(AF104)="",TRIM(AF105)=""),"",AF104+AF105)</f>
        <v/>
      </c>
      <c r="AG106" s="379"/>
      <c r="AH106" s="380"/>
      <c r="AI106" s="381"/>
      <c r="AJ106" s="437" t="str">
        <f>IF(TRIM(AI106)="", "", IF(VLOOKUP(AI106,'Footnotes list'!$D$9:$E$58,2,FALSE)=0,"",VLOOKUP(AI106,'Footnotes list'!$D$9:$E$58,2,FALSE) ) )</f>
        <v/>
      </c>
      <c r="AK106" s="394" t="str">
        <f>IF(AND(TRIM(AK104)="",TRIM(AK105)=""),"",AK104+AK105)</f>
        <v/>
      </c>
      <c r="AL106" s="379"/>
      <c r="AM106" s="380"/>
      <c r="AN106" s="381"/>
      <c r="AO106" s="437" t="str">
        <f>IF(TRIM(AN106)="", "", IF(VLOOKUP(AN106,'Footnotes list'!$D$9:$E$58,2,FALSE)=0,"",VLOOKUP(AN106,'Footnotes list'!$D$9:$E$58,2,FALSE) ) )</f>
        <v/>
      </c>
      <c r="AP106" s="394" t="str">
        <f>IF(AND(TRIM(AP104)="", TRIM(AP105)=""), "", SUM(AP104,AP105))</f>
        <v/>
      </c>
      <c r="AQ106" s="379"/>
      <c r="AR106" s="380"/>
      <c r="AS106" s="381"/>
      <c r="AT106" s="437" t="str">
        <f>IF(TRIM(AS106)="", "", IF(VLOOKUP(AS106,'Footnotes list'!$D$9:$E$58,2,FALSE)=0,"",VLOOKUP(AS106,'Footnotes list'!$D$9:$E$58,2,FALSE) ) )</f>
        <v/>
      </c>
      <c r="AU106" s="394" t="str">
        <f>IF(AND(TRIM(AU104)="", TRIM(AU105)=""), "", SUM(AU104,AU105) )</f>
        <v/>
      </c>
      <c r="AV106" s="379"/>
      <c r="AW106" s="380"/>
      <c r="AX106" s="381"/>
      <c r="AY106" s="437" t="str">
        <f>IF(TRIM(AX106)="", "", IF(VLOOKUP(AX106,'Footnotes list'!$D$9:$E$58,2,FALSE)=0,"",VLOOKUP(AX106,'Footnotes list'!$D$9:$E$58,2,FALSE) ) )</f>
        <v/>
      </c>
    </row>
    <row r="107" spans="2:51" ht="15" customHeight="1" x14ac:dyDescent="0.35">
      <c r="B107" s="540" t="s">
        <v>235</v>
      </c>
      <c r="C107" s="416" t="s">
        <v>235</v>
      </c>
      <c r="D107" s="543" t="s">
        <v>236</v>
      </c>
      <c r="E107" s="417" t="s">
        <v>144</v>
      </c>
      <c r="F107" s="418" t="s">
        <v>151</v>
      </c>
      <c r="G107" s="395">
        <f>SUM(G8,G11,G14,G17,G20,G26,G29,G32,G35,G38,G41,G44,G47,G50,G53,G56,G59,G62,G65,G68,G71,G74,G77,G80,G86,G89,G92,G95,G98,G101)</f>
        <v>0</v>
      </c>
      <c r="H107" s="373"/>
      <c r="I107" s="374"/>
      <c r="J107" s="375"/>
      <c r="K107" s="433" t="str">
        <f>IF(TRIM(J107)="", "", IF(VLOOKUP(J107,'Footnotes list'!$D$9:$E$58,2,FALSE)=0,"",VLOOKUP(J107,'Footnotes list'!$D$9:$E$58,2,FALSE) ) )</f>
        <v/>
      </c>
      <c r="L107" s="395">
        <f>SUM(L8,L11,L14,L17,L20,L26,L29,L32,L35,L38,L41,L44,L47,L50,L53,L56,L59,L62,L65,L68,L71,L74,L77,L80,L86,L89,L92,L95,L98,L101)</f>
        <v>0</v>
      </c>
      <c r="M107" s="373"/>
      <c r="N107" s="374"/>
      <c r="O107" s="375"/>
      <c r="P107" s="433" t="str">
        <f>IF(TRIM(O107)="", "", IF(VLOOKUP(O107,'Footnotes list'!$D$9:$E$58,2,FALSE)=0,"",VLOOKUP(O107,'Footnotes list'!$D$9:$E$58,2,FALSE) ) )</f>
        <v/>
      </c>
      <c r="Q107" s="395">
        <f>SUM(Q8,Q11,Q14,Q17,Q20,Q26,Q29,Q32,Q35,Q38,Q41,Q44,Q47,Q50,Q53,Q56,Q59,Q62,Q65,Q68,Q71,Q74,Q77,Q80,Q86,Q89,Q92,Q95,Q98,Q101)</f>
        <v>0</v>
      </c>
      <c r="R107" s="373"/>
      <c r="S107" s="374"/>
      <c r="T107" s="375"/>
      <c r="U107" s="433" t="str">
        <f>IF(TRIM(T107)="", "", IF(VLOOKUP(T107,'Footnotes list'!$D$9:$E$58,2,FALSE)=0,"",VLOOKUP(T107,'Footnotes list'!$D$9:$E$58,2,FALSE) ) )</f>
        <v/>
      </c>
      <c r="V107" s="395">
        <f>SUM(V8,V11,V14,V17,V20,V26,V29,V32,V35,V38,V41,V44,V47,V50,V53,V56,V59,V62,V65,V68,V71,V74,V77,V80,V86,V89,V92,V95,V98,V101)</f>
        <v>0</v>
      </c>
      <c r="W107" s="373"/>
      <c r="X107" s="374"/>
      <c r="Y107" s="375"/>
      <c r="Z107" s="433" t="str">
        <f>IF(TRIM(Y107)="", "", IF(VLOOKUP(Y107,'Footnotes list'!$D$9:$E$58,2,FALSE)=0,"",VLOOKUP(Y107,'Footnotes list'!$D$9:$E$58,2,FALSE) ) )</f>
        <v/>
      </c>
      <c r="AA107" s="395">
        <f>SUM(AA8,AA11,AA14,AA17,AA20,AA26,AA29,AA32,AA35,AA38,AA41,AA44,AA47,AA50,AA53,AA56,AA59,AA62,AA65,AA68,AA71,AA74,AA77,AA80,AA86,AA89,AA92,AA95,AA98,AA101)</f>
        <v>0</v>
      </c>
      <c r="AB107" s="373"/>
      <c r="AC107" s="374"/>
      <c r="AD107" s="375"/>
      <c r="AE107" s="433" t="str">
        <f>IF(TRIM(AD107)="", "", IF(VLOOKUP(AD107,'Footnotes list'!$D$9:$E$58,2,FALSE)=0,"",VLOOKUP(AD107,'Footnotes list'!$D$9:$E$58,2,FALSE) ) )</f>
        <v/>
      </c>
      <c r="AF107" s="395">
        <f>SUM(AF8,AF11,AF14,AF17,AF20,AF26,AF29,AF32,AF35,AF38,AF41,AF44,AF47,AF50,AF53,AF56,AF59,AF62,AF65,AF68,AF71,AF74,AF77,AF80,AF86,AF89,AF92,AF95,AF98,AF101)</f>
        <v>0</v>
      </c>
      <c r="AG107" s="373"/>
      <c r="AH107" s="374"/>
      <c r="AI107" s="375"/>
      <c r="AJ107" s="433" t="str">
        <f>IF(TRIM(AI107)="", "", IF(VLOOKUP(AI107,'Footnotes list'!$D$9:$E$58,2,FALSE)=0,"",VLOOKUP(AI107,'Footnotes list'!$D$9:$E$58,2,FALSE) ) )</f>
        <v/>
      </c>
      <c r="AK107" s="395">
        <f>SUM(AK8,AK11,AK14,AK17,AK20,AK26,AK29,AK32,AK35,AK38,AK41,AK44,AK47,AK50,AK53,AK56,AK59,AK62,AK65,AK68,AK71,AK74,AK77,AK80,AK86,AK89,AK92,AK95,AK98,AK101)</f>
        <v>0</v>
      </c>
      <c r="AL107" s="373"/>
      <c r="AM107" s="374"/>
      <c r="AN107" s="375"/>
      <c r="AO107" s="433" t="str">
        <f>IF(TRIM(AN107)="", "", IF(VLOOKUP(AN107,'Footnotes list'!$D$9:$E$58,2,FALSE)=0,"",VLOOKUP(AN107,'Footnotes list'!$D$9:$E$58,2,FALSE) ) )</f>
        <v/>
      </c>
      <c r="AP107" s="395">
        <f>SUM(AP8,AP11,AP14,AP17,AP20,AP26,AP29,AP32,AP35,AP38,AP41,AP44,AP47,AP50,AP53,AP56,AP59,AP62,AP65,AP68,AP71,AP74,AP77,AP80,AP86,AP89,AP92,AP95,AP98,AP101)</f>
        <v>0</v>
      </c>
      <c r="AQ107" s="373"/>
      <c r="AR107" s="374"/>
      <c r="AS107" s="375"/>
      <c r="AT107" s="433" t="str">
        <f>IF(TRIM(AS107)="", "", IF(VLOOKUP(AS107,'Footnotes list'!$D$9:$E$58,2,FALSE)=0,"",VLOOKUP(AS107,'Footnotes list'!$D$9:$E$58,2,FALSE) ) )</f>
        <v/>
      </c>
      <c r="AU107" s="395">
        <f>SUM(AU8,AU11,AU14,AU17,AU20,AU26,AU29,AU32,AU35,AU38,AU41,AU44,AU47,AU50,AU53,AU56,AU59,AU62,AU65,AU68,AU71,AU74,AU77,AU80,AU86,AU89,AU92,AU95,AU98,AU101)</f>
        <v>0</v>
      </c>
      <c r="AV107" s="373"/>
      <c r="AW107" s="374"/>
      <c r="AX107" s="375"/>
      <c r="AY107" s="433" t="str">
        <f>IF(TRIM(AX107)="", "", IF(VLOOKUP(AX107,'Footnotes list'!$D$9:$E$58,2,FALSE)=0,"",VLOOKUP(AX107,'Footnotes list'!$D$9:$E$58,2,FALSE) ) )</f>
        <v/>
      </c>
    </row>
    <row r="108" spans="2:51" ht="15" customHeight="1" x14ac:dyDescent="0.35">
      <c r="B108" s="541"/>
      <c r="C108" s="424" t="s">
        <v>235</v>
      </c>
      <c r="D108" s="544"/>
      <c r="E108" s="425" t="s">
        <v>145</v>
      </c>
      <c r="F108" s="426" t="s">
        <v>152</v>
      </c>
      <c r="G108" s="396">
        <f t="shared" ref="G108:G109" si="0">SUM(G9,G12,G15,G18,G21,G27,G30,G33,G36,G39,G42,G45,G48,G51,G54,G57,G60,G63,G66,G69,G72,G75,G78,G81,G87,G90,G93,G96,G99,G102)</f>
        <v>0</v>
      </c>
      <c r="H108" s="379"/>
      <c r="I108" s="380"/>
      <c r="J108" s="381"/>
      <c r="K108" s="437" t="str">
        <f>IF(TRIM(J108)="", "", IF(VLOOKUP(J108,'Footnotes list'!$D$9:$E$58,2,FALSE)=0,"",VLOOKUP(J108,'Footnotes list'!$D$9:$E$58,2,FALSE) ) )</f>
        <v/>
      </c>
      <c r="L108" s="396">
        <f t="shared" ref="L108:L109" si="1">SUM(L9,L12,L15,L18,L21,L27,L30,L33,L36,L39,L42,L45,L48,L51,L54,L57,L60,L63,L66,L69,L72,L75,L78,L81,L87,L90,L93,L96,L99,L102)</f>
        <v>0</v>
      </c>
      <c r="M108" s="379"/>
      <c r="N108" s="380"/>
      <c r="O108" s="381"/>
      <c r="P108" s="437" t="str">
        <f>IF(TRIM(O108)="", "", IF(VLOOKUP(O108,'Footnotes list'!$D$9:$E$58,2,FALSE)=0,"",VLOOKUP(O108,'Footnotes list'!$D$9:$E$58,2,FALSE) ) )</f>
        <v/>
      </c>
      <c r="Q108" s="396">
        <f t="shared" ref="Q108:Q109" si="2">SUM(Q9,Q12,Q15,Q18,Q21,Q27,Q30,Q33,Q36,Q39,Q42,Q45,Q48,Q51,Q54,Q57,Q60,Q63,Q66,Q69,Q72,Q75,Q78,Q81,Q87,Q90,Q93,Q96,Q99,Q102)</f>
        <v>0</v>
      </c>
      <c r="R108" s="379"/>
      <c r="S108" s="380"/>
      <c r="T108" s="381"/>
      <c r="U108" s="437" t="str">
        <f>IF(TRIM(T108)="", "", IF(VLOOKUP(T108,'Footnotes list'!$D$9:$E$58,2,FALSE)=0,"",VLOOKUP(T108,'Footnotes list'!$D$9:$E$58,2,FALSE) ) )</f>
        <v/>
      </c>
      <c r="V108" s="396">
        <f t="shared" ref="V108:V109" si="3">SUM(V9,V12,V15,V18,V21,V27,V30,V33,V36,V39,V42,V45,V48,V51,V54,V57,V60,V63,V66,V69,V72,V75,V78,V81,V87,V90,V93,V96,V99,V102)</f>
        <v>0</v>
      </c>
      <c r="W108" s="379"/>
      <c r="X108" s="380"/>
      <c r="Y108" s="381"/>
      <c r="Z108" s="437" t="str">
        <f>IF(TRIM(Y108)="", "", IF(VLOOKUP(Y108,'Footnotes list'!$D$9:$E$58,2,FALSE)=0,"",VLOOKUP(Y108,'Footnotes list'!$D$9:$E$58,2,FALSE) ) )</f>
        <v/>
      </c>
      <c r="AA108" s="399">
        <f t="shared" ref="AA108:AA109" si="4">SUM(AA9,AA12,AA15,AA18,AA21,AA27,AA30,AA33,AA36,AA39,AA42,AA45,AA48,AA51,AA54,AA57,AA60,AA63,AA66,AA69,AA72,AA75,AA78,AA81,AA87,AA90,AA93,AA96,AA99,AA102)</f>
        <v>0</v>
      </c>
      <c r="AB108" s="379"/>
      <c r="AC108" s="380"/>
      <c r="AD108" s="381"/>
      <c r="AE108" s="437" t="str">
        <f>IF(TRIM(AD108)="", "", IF(VLOOKUP(AD108,'Footnotes list'!$D$9:$E$58,2,FALSE)=0,"",VLOOKUP(AD108,'Footnotes list'!$D$9:$E$58,2,FALSE) ) )</f>
        <v/>
      </c>
      <c r="AF108" s="396">
        <f t="shared" ref="AF108:AF109" si="5">SUM(AF9,AF12,AF15,AF18,AF21,AF27,AF30,AF33,AF36,AF39,AF42,AF45,AF48,AF51,AF54,AF57,AF60,AF63,AF66,AF69,AF72,AF75,AF78,AF81,AF87,AF90,AF93,AF96,AF99,AF102)</f>
        <v>0</v>
      </c>
      <c r="AG108" s="379"/>
      <c r="AH108" s="380"/>
      <c r="AI108" s="381"/>
      <c r="AJ108" s="437" t="str">
        <f>IF(TRIM(AI108)="", "", IF(VLOOKUP(AI108,'Footnotes list'!$D$9:$E$58,2,FALSE)=0,"",VLOOKUP(AI108,'Footnotes list'!$D$9:$E$58,2,FALSE) ) )</f>
        <v/>
      </c>
      <c r="AK108" s="396">
        <f t="shared" ref="AK108:AK109" si="6">SUM(AK9,AK12,AK15,AK18,AK21,AK27,AK30,AK33,AK36,AK39,AK42,AK45,AK48,AK51,AK54,AK57,AK60,AK63,AK66,AK69,AK72,AK75,AK78,AK81,AK87,AK90,AK93,AK96,AK99,AK102)</f>
        <v>0</v>
      </c>
      <c r="AL108" s="379"/>
      <c r="AM108" s="380"/>
      <c r="AN108" s="381"/>
      <c r="AO108" s="437" t="str">
        <f>IF(TRIM(AN108)="", "", IF(VLOOKUP(AN108,'Footnotes list'!$D$9:$E$58,2,FALSE)=0,"",VLOOKUP(AN108,'Footnotes list'!$D$9:$E$58,2,FALSE) ) )</f>
        <v/>
      </c>
      <c r="AP108" s="396">
        <f t="shared" ref="AP108:AP109" si="7">SUM(AP9,AP12,AP15,AP18,AP21,AP27,AP30,AP33,AP36,AP39,AP42,AP45,AP48,AP51,AP54,AP57,AP60,AP63,AP66,AP69,AP72,AP75,AP78,AP81,AP87,AP90,AP93,AP96,AP99,AP102)</f>
        <v>0</v>
      </c>
      <c r="AQ108" s="379"/>
      <c r="AR108" s="380"/>
      <c r="AS108" s="381"/>
      <c r="AT108" s="437" t="str">
        <f>IF(TRIM(AS108)="", "", IF(VLOOKUP(AS108,'Footnotes list'!$D$9:$E$58,2,FALSE)=0,"",VLOOKUP(AS108,'Footnotes list'!$D$9:$E$58,2,FALSE) ) )</f>
        <v/>
      </c>
      <c r="AU108" s="396">
        <f t="shared" ref="AU108:AU109" si="8">SUM(AU9,AU12,AU15,AU18,AU21,AU27,AU30,AU33,AU36,AU39,AU42,AU45,AU48,AU51,AU54,AU57,AU60,AU63,AU66,AU69,AU72,AU75,AU78,AU81,AU87,AU90,AU93,AU96,AU99,AU102)</f>
        <v>0</v>
      </c>
      <c r="AV108" s="379"/>
      <c r="AW108" s="380"/>
      <c r="AX108" s="381"/>
      <c r="AY108" s="437" t="str">
        <f>IF(TRIM(AX108)="", "", IF(VLOOKUP(AX108,'Footnotes list'!$D$9:$E$58,2,FALSE)=0,"",VLOOKUP(AX108,'Footnotes list'!$D$9:$E$58,2,FALSE) ) )</f>
        <v/>
      </c>
    </row>
    <row r="109" spans="2:51" ht="15" customHeight="1" thickBot="1" x14ac:dyDescent="0.4">
      <c r="B109" s="542"/>
      <c r="C109" s="427" t="s">
        <v>235</v>
      </c>
      <c r="D109" s="545"/>
      <c r="E109" s="422" t="s">
        <v>146</v>
      </c>
      <c r="F109" s="428" t="s">
        <v>234</v>
      </c>
      <c r="G109" s="397">
        <f t="shared" si="0"/>
        <v>0</v>
      </c>
      <c r="H109" s="379"/>
      <c r="I109" s="380"/>
      <c r="J109" s="381"/>
      <c r="K109" s="437" t="str">
        <f>IF(TRIM(J109)="", "", IF(VLOOKUP(J109,'Footnotes list'!$D$9:$E$58,2,FALSE)=0,"",VLOOKUP(J109,'Footnotes list'!$D$9:$E$58,2,FALSE) ) )</f>
        <v/>
      </c>
      <c r="L109" s="398">
        <f t="shared" si="1"/>
        <v>0</v>
      </c>
      <c r="M109" s="379"/>
      <c r="N109" s="380"/>
      <c r="O109" s="381"/>
      <c r="P109" s="437" t="str">
        <f>IF(TRIM(O109)="", "", IF(VLOOKUP(O109,'Footnotes list'!$D$9:$E$58,2,FALSE)=0,"",VLOOKUP(O109,'Footnotes list'!$D$9:$E$58,2,FALSE) ) )</f>
        <v/>
      </c>
      <c r="Q109" s="398">
        <f t="shared" si="2"/>
        <v>0</v>
      </c>
      <c r="R109" s="379"/>
      <c r="S109" s="380"/>
      <c r="T109" s="381"/>
      <c r="U109" s="437" t="str">
        <f>IF(TRIM(T109)="", "", IF(VLOOKUP(T109,'Footnotes list'!$D$9:$E$58,2,FALSE)=0,"",VLOOKUP(T109,'Footnotes list'!$D$9:$E$58,2,FALSE) ) )</f>
        <v/>
      </c>
      <c r="V109" s="398">
        <f t="shared" si="3"/>
        <v>0</v>
      </c>
      <c r="W109" s="379"/>
      <c r="X109" s="380"/>
      <c r="Y109" s="381"/>
      <c r="Z109" s="437" t="str">
        <f>IF(TRIM(Y109)="", "", IF(VLOOKUP(Y109,'Footnotes list'!$D$9:$E$58,2,FALSE)=0,"",VLOOKUP(Y109,'Footnotes list'!$D$9:$E$58,2,FALSE) ) )</f>
        <v/>
      </c>
      <c r="AA109" s="397">
        <f t="shared" si="4"/>
        <v>0</v>
      </c>
      <c r="AB109" s="379"/>
      <c r="AC109" s="380"/>
      <c r="AD109" s="381"/>
      <c r="AE109" s="437" t="str">
        <f>IF(TRIM(AD109)="", "", IF(VLOOKUP(AD109,'Footnotes list'!$D$9:$E$58,2,FALSE)=0,"",VLOOKUP(AD109,'Footnotes list'!$D$9:$E$58,2,FALSE) ) )</f>
        <v/>
      </c>
      <c r="AF109" s="398">
        <f t="shared" si="5"/>
        <v>0</v>
      </c>
      <c r="AG109" s="379"/>
      <c r="AH109" s="380"/>
      <c r="AI109" s="381"/>
      <c r="AJ109" s="437" t="str">
        <f>IF(TRIM(AI109)="", "", IF(VLOOKUP(AI109,'Footnotes list'!$D$9:$E$58,2,FALSE)=0,"",VLOOKUP(AI109,'Footnotes list'!$D$9:$E$58,2,FALSE) ) )</f>
        <v/>
      </c>
      <c r="AK109" s="398">
        <f t="shared" si="6"/>
        <v>0</v>
      </c>
      <c r="AL109" s="379"/>
      <c r="AM109" s="380"/>
      <c r="AN109" s="381"/>
      <c r="AO109" s="437" t="str">
        <f>IF(TRIM(AN109)="", "", IF(VLOOKUP(AN109,'Footnotes list'!$D$9:$E$58,2,FALSE)=0,"",VLOOKUP(AN109,'Footnotes list'!$D$9:$E$58,2,FALSE) ) )</f>
        <v/>
      </c>
      <c r="AP109" s="398">
        <f t="shared" si="7"/>
        <v>0</v>
      </c>
      <c r="AQ109" s="379"/>
      <c r="AR109" s="380"/>
      <c r="AS109" s="381"/>
      <c r="AT109" s="437" t="str">
        <f>IF(TRIM(AS109)="", "", IF(VLOOKUP(AS109,'Footnotes list'!$D$9:$E$58,2,FALSE)=0,"",VLOOKUP(AS109,'Footnotes list'!$D$9:$E$58,2,FALSE) ) )</f>
        <v/>
      </c>
      <c r="AU109" s="397">
        <f t="shared" si="8"/>
        <v>0</v>
      </c>
      <c r="AV109" s="379"/>
      <c r="AW109" s="380"/>
      <c r="AX109" s="381"/>
      <c r="AY109" s="437" t="str">
        <f>IF(TRIM(AX109)="", "", IF(VLOOKUP(AX109,'Footnotes list'!$D$9:$E$58,2,FALSE)=0,"",VLOOKUP(AX109,'Footnotes list'!$D$9:$E$58,2,FALSE) ) )</f>
        <v/>
      </c>
    </row>
    <row r="110" spans="2:51" ht="15" customHeight="1" x14ac:dyDescent="0.35">
      <c r="B110" s="540" t="s">
        <v>237</v>
      </c>
      <c r="C110" s="416" t="s">
        <v>237</v>
      </c>
      <c r="D110" s="543" t="s">
        <v>238</v>
      </c>
      <c r="E110" s="417" t="s">
        <v>144</v>
      </c>
      <c r="F110" s="418" t="s">
        <v>151</v>
      </c>
      <c r="G110" s="395">
        <f>SUM(G23,G83,G104)</f>
        <v>0</v>
      </c>
      <c r="H110" s="373"/>
      <c r="I110" s="374"/>
      <c r="J110" s="375"/>
      <c r="K110" s="433" t="str">
        <f>IF(TRIM(J110)="", "", IF(VLOOKUP(J110,'Footnotes list'!$D$9:$E$58,2,FALSE)=0,"",VLOOKUP(J110,'Footnotes list'!$D$9:$E$58,2,FALSE) ) )</f>
        <v/>
      </c>
      <c r="L110" s="395">
        <f>SUM(L23,L83,L104)</f>
        <v>0</v>
      </c>
      <c r="M110" s="373"/>
      <c r="N110" s="374"/>
      <c r="O110" s="375"/>
      <c r="P110" s="433" t="str">
        <f>IF(TRIM(O110)="", "", IF(VLOOKUP(O110,'Footnotes list'!$D$9:$E$58,2,FALSE)=0,"",VLOOKUP(O110,'Footnotes list'!$D$9:$E$58,2,FALSE) ) )</f>
        <v/>
      </c>
      <c r="Q110" s="395">
        <f>SUM(Q23,Q83,Q104)</f>
        <v>0</v>
      </c>
      <c r="R110" s="373"/>
      <c r="S110" s="374"/>
      <c r="T110" s="375"/>
      <c r="U110" s="433" t="str">
        <f>IF(TRIM(T110)="", "", IF(VLOOKUP(T110,'Footnotes list'!$D$9:$E$58,2,FALSE)=0,"",VLOOKUP(T110,'Footnotes list'!$D$9:$E$58,2,FALSE) ) )</f>
        <v/>
      </c>
      <c r="V110" s="395">
        <f>SUM(V23,V83,V104)</f>
        <v>0</v>
      </c>
      <c r="W110" s="373"/>
      <c r="X110" s="374"/>
      <c r="Y110" s="375"/>
      <c r="Z110" s="433" t="str">
        <f>IF(TRIM(Y110)="", "", IF(VLOOKUP(Y110,'Footnotes list'!$D$9:$E$58,2,FALSE)=0,"",VLOOKUP(Y110,'Footnotes list'!$D$9:$E$58,2,FALSE) ) )</f>
        <v/>
      </c>
      <c r="AA110" s="395">
        <f>SUM(AA23,AA83,AA104)</f>
        <v>0</v>
      </c>
      <c r="AB110" s="373"/>
      <c r="AC110" s="374"/>
      <c r="AD110" s="375"/>
      <c r="AE110" s="433" t="str">
        <f>IF(TRIM(AD110)="", "", IF(VLOOKUP(AD110,'Footnotes list'!$D$9:$E$58,2,FALSE)=0,"",VLOOKUP(AD110,'Footnotes list'!$D$9:$E$58,2,FALSE) ) )</f>
        <v/>
      </c>
      <c r="AF110" s="395">
        <f>SUM(AF23,AF83,AF104)</f>
        <v>0</v>
      </c>
      <c r="AG110" s="373"/>
      <c r="AH110" s="374"/>
      <c r="AI110" s="375"/>
      <c r="AJ110" s="433" t="str">
        <f>IF(TRIM(AI110)="", "", IF(VLOOKUP(AI110,'Footnotes list'!$D$9:$E$58,2,FALSE)=0,"",VLOOKUP(AI110,'Footnotes list'!$D$9:$E$58,2,FALSE) ) )</f>
        <v/>
      </c>
      <c r="AK110" s="395">
        <f>SUM(AK23,AK83,AK104)</f>
        <v>0</v>
      </c>
      <c r="AL110" s="373"/>
      <c r="AM110" s="374"/>
      <c r="AN110" s="375"/>
      <c r="AO110" s="433" t="str">
        <f>IF(TRIM(AN110)="", "", IF(VLOOKUP(AN110,'Footnotes list'!$D$9:$E$58,2,FALSE)=0,"",VLOOKUP(AN110,'Footnotes list'!$D$9:$E$58,2,FALSE) ) )</f>
        <v/>
      </c>
      <c r="AP110" s="395">
        <f>SUM(AP23,AP83,AP104)</f>
        <v>0</v>
      </c>
      <c r="AQ110" s="373"/>
      <c r="AR110" s="374"/>
      <c r="AS110" s="375"/>
      <c r="AT110" s="433" t="str">
        <f>IF(TRIM(AS110)="", "", IF(VLOOKUP(AS110,'Footnotes list'!$D$9:$E$58,2,FALSE)=0,"",VLOOKUP(AS110,'Footnotes list'!$D$9:$E$58,2,FALSE) ) )</f>
        <v/>
      </c>
      <c r="AU110" s="395">
        <f>SUM(AU23,AU83,AU104)</f>
        <v>0</v>
      </c>
      <c r="AV110" s="373"/>
      <c r="AW110" s="374"/>
      <c r="AX110" s="375"/>
      <c r="AY110" s="433" t="str">
        <f>IF(TRIM(AX110)="", "", IF(VLOOKUP(AX110,'Footnotes list'!$D$9:$E$58,2,FALSE)=0,"",VLOOKUP(AX110,'Footnotes list'!$D$9:$E$58,2,FALSE) ) )</f>
        <v/>
      </c>
    </row>
    <row r="111" spans="2:51" ht="15" customHeight="1" x14ac:dyDescent="0.35">
      <c r="B111" s="541"/>
      <c r="C111" s="424" t="s">
        <v>237</v>
      </c>
      <c r="D111" s="544"/>
      <c r="E111" s="425" t="s">
        <v>145</v>
      </c>
      <c r="F111" s="426" t="s">
        <v>152</v>
      </c>
      <c r="G111" s="396">
        <f t="shared" ref="G111:G112" si="9">SUM(G24,G84,G105)</f>
        <v>0</v>
      </c>
      <c r="H111" s="379"/>
      <c r="I111" s="380"/>
      <c r="J111" s="381"/>
      <c r="K111" s="437" t="str">
        <f>IF(TRIM(J111)="", "", IF(VLOOKUP(J111,'Footnotes list'!$D$9:$E$58,2,FALSE)=0,"",VLOOKUP(J111,'Footnotes list'!$D$9:$E$58,2,FALSE) ) )</f>
        <v/>
      </c>
      <c r="L111" s="396">
        <f t="shared" ref="L111:L112" si="10">SUM(L24,L84,L105)</f>
        <v>0</v>
      </c>
      <c r="M111" s="379"/>
      <c r="N111" s="380"/>
      <c r="O111" s="381"/>
      <c r="P111" s="437" t="str">
        <f>IF(TRIM(O111)="", "", IF(VLOOKUP(O111,'Footnotes list'!$D$9:$E$58,2,FALSE)=0,"",VLOOKUP(O111,'Footnotes list'!$D$9:$E$58,2,FALSE) ) )</f>
        <v/>
      </c>
      <c r="Q111" s="396">
        <f t="shared" ref="Q111:Q112" si="11">SUM(Q24,Q84,Q105)</f>
        <v>0</v>
      </c>
      <c r="R111" s="379"/>
      <c r="S111" s="380"/>
      <c r="T111" s="381"/>
      <c r="U111" s="437" t="str">
        <f>IF(TRIM(T111)="", "", IF(VLOOKUP(T111,'Footnotes list'!$D$9:$E$58,2,FALSE)=0,"",VLOOKUP(T111,'Footnotes list'!$D$9:$E$58,2,FALSE) ) )</f>
        <v/>
      </c>
      <c r="V111" s="396">
        <f t="shared" ref="V111:V112" si="12">SUM(V24,V84,V105)</f>
        <v>0</v>
      </c>
      <c r="W111" s="379"/>
      <c r="X111" s="380"/>
      <c r="Y111" s="381"/>
      <c r="Z111" s="437" t="str">
        <f>IF(TRIM(Y111)="", "", IF(VLOOKUP(Y111,'Footnotes list'!$D$9:$E$58,2,FALSE)=0,"",VLOOKUP(Y111,'Footnotes list'!$D$9:$E$58,2,FALSE) ) )</f>
        <v/>
      </c>
      <c r="AA111" s="396">
        <f t="shared" ref="AA111:AA112" si="13">SUM(AA24,AA84,AA105)</f>
        <v>0</v>
      </c>
      <c r="AB111" s="379"/>
      <c r="AC111" s="380"/>
      <c r="AD111" s="381"/>
      <c r="AE111" s="437" t="str">
        <f>IF(TRIM(AD111)="", "", IF(VLOOKUP(AD111,'Footnotes list'!$D$9:$E$58,2,FALSE)=0,"",VLOOKUP(AD111,'Footnotes list'!$D$9:$E$58,2,FALSE) ) )</f>
        <v/>
      </c>
      <c r="AF111" s="396">
        <f t="shared" ref="AF111:AF112" si="14">SUM(AF24,AF84,AF105)</f>
        <v>0</v>
      </c>
      <c r="AG111" s="379"/>
      <c r="AH111" s="380"/>
      <c r="AI111" s="381"/>
      <c r="AJ111" s="437" t="str">
        <f>IF(TRIM(AI111)="", "", IF(VLOOKUP(AI111,'Footnotes list'!$D$9:$E$58,2,FALSE)=0,"",VLOOKUP(AI111,'Footnotes list'!$D$9:$E$58,2,FALSE) ) )</f>
        <v/>
      </c>
      <c r="AK111" s="396">
        <f t="shared" ref="AK111:AK112" si="15">SUM(AK24,AK84,AK105)</f>
        <v>0</v>
      </c>
      <c r="AL111" s="379"/>
      <c r="AM111" s="380"/>
      <c r="AN111" s="381"/>
      <c r="AO111" s="437" t="str">
        <f>IF(TRIM(AN111)="", "", IF(VLOOKUP(AN111,'Footnotes list'!$D$9:$E$58,2,FALSE)=0,"",VLOOKUP(AN111,'Footnotes list'!$D$9:$E$58,2,FALSE) ) )</f>
        <v/>
      </c>
      <c r="AP111" s="396">
        <f t="shared" ref="AP111:AP112" si="16">SUM(AP24,AP84,AP105)</f>
        <v>0</v>
      </c>
      <c r="AQ111" s="379"/>
      <c r="AR111" s="380"/>
      <c r="AS111" s="381"/>
      <c r="AT111" s="437" t="str">
        <f>IF(TRIM(AS111)="", "", IF(VLOOKUP(AS111,'Footnotes list'!$D$9:$E$58,2,FALSE)=0,"",VLOOKUP(AS111,'Footnotes list'!$D$9:$E$58,2,FALSE) ) )</f>
        <v/>
      </c>
      <c r="AU111" s="396">
        <f t="shared" ref="AU111:AU112" si="17">SUM(AU24,AU84,AU105)</f>
        <v>0</v>
      </c>
      <c r="AV111" s="379"/>
      <c r="AW111" s="380"/>
      <c r="AX111" s="381"/>
      <c r="AY111" s="437" t="str">
        <f>IF(TRIM(AX111)="", "", IF(VLOOKUP(AX111,'Footnotes list'!$D$9:$E$58,2,FALSE)=0,"",VLOOKUP(AX111,'Footnotes list'!$D$9:$E$58,2,FALSE) ) )</f>
        <v/>
      </c>
    </row>
    <row r="112" spans="2:51" ht="15" customHeight="1" thickBot="1" x14ac:dyDescent="0.4">
      <c r="B112" s="542"/>
      <c r="C112" s="427" t="s">
        <v>237</v>
      </c>
      <c r="D112" s="545"/>
      <c r="E112" s="422" t="s">
        <v>146</v>
      </c>
      <c r="F112" s="428" t="s">
        <v>234</v>
      </c>
      <c r="G112" s="398">
        <f t="shared" si="9"/>
        <v>0</v>
      </c>
      <c r="H112" s="379"/>
      <c r="I112" s="380"/>
      <c r="J112" s="381"/>
      <c r="K112" s="437" t="str">
        <f>IF(TRIM(J112)="", "", IF(VLOOKUP(J112,'Footnotes list'!$D$9:$E$58,2,FALSE)=0,"",VLOOKUP(J112,'Footnotes list'!$D$9:$E$58,2,FALSE) ) )</f>
        <v/>
      </c>
      <c r="L112" s="398">
        <f t="shared" si="10"/>
        <v>0</v>
      </c>
      <c r="M112" s="379"/>
      <c r="N112" s="380"/>
      <c r="O112" s="381"/>
      <c r="P112" s="437" t="str">
        <f>IF(TRIM(O112)="", "", IF(VLOOKUP(O112,'Footnotes list'!$D$9:$E$58,2,FALSE)=0,"",VLOOKUP(O112,'Footnotes list'!$D$9:$E$58,2,FALSE) ) )</f>
        <v/>
      </c>
      <c r="Q112" s="398">
        <f t="shared" si="11"/>
        <v>0</v>
      </c>
      <c r="R112" s="379"/>
      <c r="S112" s="380"/>
      <c r="T112" s="381"/>
      <c r="U112" s="437" t="str">
        <f>IF(TRIM(T112)="", "", IF(VLOOKUP(T112,'Footnotes list'!$D$9:$E$58,2,FALSE)=0,"",VLOOKUP(T112,'Footnotes list'!$D$9:$E$58,2,FALSE) ) )</f>
        <v/>
      </c>
      <c r="V112" s="398">
        <f t="shared" si="12"/>
        <v>0</v>
      </c>
      <c r="W112" s="379"/>
      <c r="X112" s="380"/>
      <c r="Y112" s="381"/>
      <c r="Z112" s="437" t="str">
        <f>IF(TRIM(Y112)="", "", IF(VLOOKUP(Y112,'Footnotes list'!$D$9:$E$58,2,FALSE)=0,"",VLOOKUP(Y112,'Footnotes list'!$D$9:$E$58,2,FALSE) ) )</f>
        <v/>
      </c>
      <c r="AA112" s="398">
        <f t="shared" si="13"/>
        <v>0</v>
      </c>
      <c r="AB112" s="379"/>
      <c r="AC112" s="380"/>
      <c r="AD112" s="381"/>
      <c r="AE112" s="437" t="str">
        <f>IF(TRIM(AD112)="", "", IF(VLOOKUP(AD112,'Footnotes list'!$D$9:$E$58,2,FALSE)=0,"",VLOOKUP(AD112,'Footnotes list'!$D$9:$E$58,2,FALSE) ) )</f>
        <v/>
      </c>
      <c r="AF112" s="398">
        <f t="shared" si="14"/>
        <v>0</v>
      </c>
      <c r="AG112" s="379"/>
      <c r="AH112" s="380"/>
      <c r="AI112" s="381"/>
      <c r="AJ112" s="437" t="str">
        <f>IF(TRIM(AI112)="", "", IF(VLOOKUP(AI112,'Footnotes list'!$D$9:$E$58,2,FALSE)=0,"",VLOOKUP(AI112,'Footnotes list'!$D$9:$E$58,2,FALSE) ) )</f>
        <v/>
      </c>
      <c r="AK112" s="398">
        <f t="shared" si="15"/>
        <v>0</v>
      </c>
      <c r="AL112" s="379"/>
      <c r="AM112" s="380"/>
      <c r="AN112" s="381"/>
      <c r="AO112" s="437" t="str">
        <f>IF(TRIM(AN112)="", "", IF(VLOOKUP(AN112,'Footnotes list'!$D$9:$E$58,2,FALSE)=0,"",VLOOKUP(AN112,'Footnotes list'!$D$9:$E$58,2,FALSE) ) )</f>
        <v/>
      </c>
      <c r="AP112" s="398">
        <f t="shared" si="16"/>
        <v>0</v>
      </c>
      <c r="AQ112" s="379"/>
      <c r="AR112" s="380"/>
      <c r="AS112" s="381"/>
      <c r="AT112" s="437" t="str">
        <f>IF(TRIM(AS112)="", "", IF(VLOOKUP(AS112,'Footnotes list'!$D$9:$E$58,2,FALSE)=0,"",VLOOKUP(AS112,'Footnotes list'!$D$9:$E$58,2,FALSE) ) )</f>
        <v/>
      </c>
      <c r="AU112" s="398">
        <f t="shared" si="17"/>
        <v>0</v>
      </c>
      <c r="AV112" s="379"/>
      <c r="AW112" s="380"/>
      <c r="AX112" s="381"/>
      <c r="AY112" s="437" t="str">
        <f>IF(TRIM(AX112)="", "", IF(VLOOKUP(AX112,'Footnotes list'!$D$9:$E$58,2,FALSE)=0,"",VLOOKUP(AX112,'Footnotes list'!$D$9:$E$58,2,FALSE) ) )</f>
        <v/>
      </c>
    </row>
    <row r="113" spans="2:51" ht="15" customHeight="1" x14ac:dyDescent="0.35">
      <c r="B113" s="540" t="s">
        <v>429</v>
      </c>
      <c r="C113" s="416" t="s">
        <v>429</v>
      </c>
      <c r="D113" s="543" t="s">
        <v>278</v>
      </c>
      <c r="E113" s="417" t="s">
        <v>144</v>
      </c>
      <c r="F113" s="418" t="s">
        <v>151</v>
      </c>
      <c r="G113" s="395">
        <f>SUM(G8,G11,G14,G17,G20,G23,G26,G29,G32,G35,G38,G41,G44,G47,G50,G53,G56,G59,G62,G65,G68,G71,G74,G77,G80,G83,G86,G95,G104)</f>
        <v>0</v>
      </c>
      <c r="H113" s="373"/>
      <c r="I113" s="374"/>
      <c r="J113" s="375"/>
      <c r="K113" s="433" t="str">
        <f>IF(TRIM(J113)="", "", IF(VLOOKUP(J113,'Footnotes list'!$D$9:$E$58,2,FALSE)=0,"",VLOOKUP(J113,'Footnotes list'!$D$9:$E$58,2,FALSE) ) )</f>
        <v/>
      </c>
      <c r="L113" s="395">
        <f>SUM(L8,L11,L14,L17,L20,L23,L26,L29,L32,L35,L38,L41,L44,L47,L50,L53,L56,L59,L62,L65,L68,L71,L74,L77,L80,L83,L86,L95,L104)</f>
        <v>0</v>
      </c>
      <c r="M113" s="373"/>
      <c r="N113" s="374"/>
      <c r="O113" s="375"/>
      <c r="P113" s="433" t="str">
        <f>IF(TRIM(O113)="", "", IF(VLOOKUP(O113,'Footnotes list'!$D$9:$E$58,2,FALSE)=0,"",VLOOKUP(O113,'Footnotes list'!$D$9:$E$58,2,FALSE) ) )</f>
        <v/>
      </c>
      <c r="Q113" s="395">
        <f>SUM(Q8,Q11,Q14,Q17,Q20,Q23,Q26,Q29,Q32,Q35,Q38,Q41,Q44,Q47,Q50,Q53,Q56,Q59,Q62,Q65,Q68,Q71,Q74,Q77,Q80,Q83,Q86,Q95,Q104)</f>
        <v>0</v>
      </c>
      <c r="R113" s="373"/>
      <c r="S113" s="374"/>
      <c r="T113" s="375"/>
      <c r="U113" s="433" t="str">
        <f>IF(TRIM(T113)="", "", IF(VLOOKUP(T113,'Footnotes list'!$D$9:$E$58,2,FALSE)=0,"",VLOOKUP(T113,'Footnotes list'!$D$9:$E$58,2,FALSE) ) )</f>
        <v/>
      </c>
      <c r="V113" s="395">
        <f>SUM(V8,V11,V14,V17,V20,V23,V26,V29,V32,V35,V38,V41,V44,V47,V50,V53,V56,V59,V62,V65,V68,V71,V74,V77,V80,V83,V86,V95,V104)</f>
        <v>0</v>
      </c>
      <c r="W113" s="373"/>
      <c r="X113" s="374"/>
      <c r="Y113" s="375"/>
      <c r="Z113" s="433" t="str">
        <f>IF(TRIM(Y113)="", "", IF(VLOOKUP(Y113,'Footnotes list'!$D$9:$E$58,2,FALSE)=0,"",VLOOKUP(Y113,'Footnotes list'!$D$9:$E$58,2,FALSE) ) )</f>
        <v/>
      </c>
      <c r="AA113" s="395">
        <f>SUM(AA8,AA11,AA14,AA17,AA20,AA23,AA26,AA29,AA32,AA35,AA38,AA41,AA44,AA47,AA50,AA53,AA56,AA59,AA62,AA65,AA68,AA71,AA74,AA77,AA80,AA83,AA86,AA95,AA104)</f>
        <v>0</v>
      </c>
      <c r="AB113" s="373"/>
      <c r="AC113" s="374"/>
      <c r="AD113" s="375"/>
      <c r="AE113" s="433" t="str">
        <f>IF(TRIM(AD113)="", "", IF(VLOOKUP(AD113,'Footnotes list'!$D$9:$E$58,2,FALSE)=0,"",VLOOKUP(AD113,'Footnotes list'!$D$9:$E$58,2,FALSE) ) )</f>
        <v/>
      </c>
      <c r="AF113" s="395">
        <f>SUM(AF8,AF11,AF14,AF17,AF20,AF23,AF26,AF29,AF32,AF35,AF38,AF41,AF44,AF47,AF50,AF53,AF56,AF59,AF62,AF65,AF68,AF71,AF74,AF77,AF80,AF83,AF86,AF95,AF104)</f>
        <v>0</v>
      </c>
      <c r="AG113" s="373"/>
      <c r="AH113" s="374"/>
      <c r="AI113" s="375"/>
      <c r="AJ113" s="433" t="str">
        <f>IF(TRIM(AI113)="", "", IF(VLOOKUP(AI113,'Footnotes list'!$D$9:$E$58,2,FALSE)=0,"",VLOOKUP(AI113,'Footnotes list'!$D$9:$E$58,2,FALSE) ) )</f>
        <v/>
      </c>
      <c r="AK113" s="395">
        <f>SUM(AK8,AK11,AK14,AK17,AK20,AK23,AK26,AK29,AK32,AK35,AK38,AK41,AK44,AK47,AK50,AK53,AK56,AK59,AK62,AK65,AK68,AK71,AK74,AK77,AK80,AK83,AK86,AK95,AK104)</f>
        <v>0</v>
      </c>
      <c r="AL113" s="373"/>
      <c r="AM113" s="374"/>
      <c r="AN113" s="375"/>
      <c r="AO113" s="433" t="str">
        <f>IF(TRIM(AN113)="", "", IF(VLOOKUP(AN113,'Footnotes list'!$D$9:$E$58,2,FALSE)=0,"",VLOOKUP(AN113,'Footnotes list'!$D$9:$E$58,2,FALSE) ) )</f>
        <v/>
      </c>
      <c r="AP113" s="395">
        <f>SUM(AP8,AP11,AP14,AP17,AP20,AP23,AP26,AP29,AP32,AP35,AP38,AP41,AP44,AP47,AP50,AP53,AP56,AP59,AP62,AP65,AP68,AP71,AP74,AP77,AP80,AP83,AP86,AP95,AP104)</f>
        <v>0</v>
      </c>
      <c r="AQ113" s="373"/>
      <c r="AR113" s="374"/>
      <c r="AS113" s="375"/>
      <c r="AT113" s="433" t="str">
        <f>IF(TRIM(AS113)="", "", IF(VLOOKUP(AS113,'Footnotes list'!$D$9:$E$58,2,FALSE)=0,"",VLOOKUP(AS113,'Footnotes list'!$D$9:$E$58,2,FALSE) ) )</f>
        <v/>
      </c>
      <c r="AU113" s="395">
        <f>SUM(AU8,AU11,AU14,AU17,AU20,AU23,AU26,AU29,AU32,AU35,AU38,AU41,AU44,AU47,AU50,AU53,AU56,AU59,AU62,AU65,AU68,AU71,AU74,AU77,AU80,AU83,AU86,AU95,AU104)</f>
        <v>0</v>
      </c>
      <c r="AV113" s="373"/>
      <c r="AW113" s="374"/>
      <c r="AX113" s="375"/>
      <c r="AY113" s="433" t="str">
        <f>IF(TRIM(AX113)="", "", IF(VLOOKUP(AX113,'Footnotes list'!$D$9:$E$58,2,FALSE)=0,"",VLOOKUP(AX113,'Footnotes list'!$D$9:$E$58,2,FALSE) ) )</f>
        <v/>
      </c>
    </row>
    <row r="114" spans="2:51" ht="15" customHeight="1" x14ac:dyDescent="0.35">
      <c r="B114" s="541"/>
      <c r="C114" s="424" t="s">
        <v>429</v>
      </c>
      <c r="D114" s="544"/>
      <c r="E114" s="425" t="s">
        <v>145</v>
      </c>
      <c r="F114" s="426" t="s">
        <v>152</v>
      </c>
      <c r="G114" s="396">
        <f t="shared" ref="G114:G115" si="18">SUM(G9,G12,G15,G18,G21,G24,G27,G30,G33,G36,G39,G42,G45,G48,G51,G54,G57,G60,G63,G66,G69,G72,G75,G78,G81,G84,G87,G96,G105)</f>
        <v>0</v>
      </c>
      <c r="H114" s="379"/>
      <c r="I114" s="380"/>
      <c r="J114" s="381"/>
      <c r="K114" s="437" t="str">
        <f>IF(TRIM(J114)="", "", IF(VLOOKUP(J114,'Footnotes list'!$D$9:$E$58,2,FALSE)=0,"",VLOOKUP(J114,'Footnotes list'!$D$9:$E$58,2,FALSE) ) )</f>
        <v/>
      </c>
      <c r="L114" s="396">
        <f t="shared" ref="L114:L115" si="19">SUM(L9,L12,L15,L18,L21,L24,L27,L30,L33,L36,L39,L42,L45,L48,L51,L54,L57,L60,L63,L66,L69,L72,L75,L78,L81,L84,L87,L96,L105)</f>
        <v>0</v>
      </c>
      <c r="M114" s="379"/>
      <c r="N114" s="380"/>
      <c r="O114" s="381"/>
      <c r="P114" s="437" t="str">
        <f>IF(TRIM(O114)="", "", IF(VLOOKUP(O114,'Footnotes list'!$D$9:$E$58,2,FALSE)=0,"",VLOOKUP(O114,'Footnotes list'!$D$9:$E$58,2,FALSE) ) )</f>
        <v/>
      </c>
      <c r="Q114" s="396">
        <f t="shared" ref="Q114:Q115" si="20">SUM(Q9,Q12,Q15,Q18,Q21,Q24,Q27,Q30,Q33,Q36,Q39,Q42,Q45,Q48,Q51,Q54,Q57,Q60,Q63,Q66,Q69,Q72,Q75,Q78,Q81,Q84,Q87,Q96,Q105)</f>
        <v>0</v>
      </c>
      <c r="R114" s="379"/>
      <c r="S114" s="380"/>
      <c r="T114" s="381"/>
      <c r="U114" s="437" t="str">
        <f>IF(TRIM(T114)="", "", IF(VLOOKUP(T114,'Footnotes list'!$D$9:$E$58,2,FALSE)=0,"",VLOOKUP(T114,'Footnotes list'!$D$9:$E$58,2,FALSE) ) )</f>
        <v/>
      </c>
      <c r="V114" s="396">
        <f t="shared" ref="V114:V115" si="21">SUM(V9,V12,V15,V18,V21,V24,V27,V30,V33,V36,V39,V42,V45,V48,V51,V54,V57,V60,V63,V66,V69,V72,V75,V78,V81,V84,V87,V96,V105)</f>
        <v>0</v>
      </c>
      <c r="W114" s="379"/>
      <c r="X114" s="380"/>
      <c r="Y114" s="381"/>
      <c r="Z114" s="437" t="str">
        <f>IF(TRIM(Y114)="", "", IF(VLOOKUP(Y114,'Footnotes list'!$D$9:$E$58,2,FALSE)=0,"",VLOOKUP(Y114,'Footnotes list'!$D$9:$E$58,2,FALSE) ) )</f>
        <v/>
      </c>
      <c r="AA114" s="399">
        <f t="shared" ref="AA114:AA115" si="22">SUM(AA9,AA12,AA15,AA18,AA21,AA24,AA27,AA30,AA33,AA36,AA39,AA42,AA45,AA48,AA51,AA54,AA57,AA60,AA63,AA66,AA69,AA72,AA75,AA78,AA81,AA84,AA87,AA96,AA105)</f>
        <v>0</v>
      </c>
      <c r="AB114" s="379"/>
      <c r="AC114" s="380"/>
      <c r="AD114" s="381"/>
      <c r="AE114" s="437" t="str">
        <f>IF(TRIM(AD114)="", "", IF(VLOOKUP(AD114,'Footnotes list'!$D$9:$E$58,2,FALSE)=0,"",VLOOKUP(AD114,'Footnotes list'!$D$9:$E$58,2,FALSE) ) )</f>
        <v/>
      </c>
      <c r="AF114" s="396">
        <f t="shared" ref="AF114:AF115" si="23">SUM(AF9,AF12,AF15,AF18,AF21,AF24,AF27,AF30,AF33,AF36,AF39,AF42,AF45,AF48,AF51,AF54,AF57,AF60,AF63,AF66,AF69,AF72,AF75,AF78,AF81,AF84,AF87,AF96,AF105)</f>
        <v>0</v>
      </c>
      <c r="AG114" s="379"/>
      <c r="AH114" s="380"/>
      <c r="AI114" s="381"/>
      <c r="AJ114" s="437" t="str">
        <f>IF(TRIM(AI114)="", "", IF(VLOOKUP(AI114,'Footnotes list'!$D$9:$E$58,2,FALSE)=0,"",VLOOKUP(AI114,'Footnotes list'!$D$9:$E$58,2,FALSE) ) )</f>
        <v/>
      </c>
      <c r="AK114" s="396">
        <f t="shared" ref="AK114:AK115" si="24">SUM(AK9,AK12,AK15,AK18,AK21,AK24,AK27,AK30,AK33,AK36,AK39,AK42,AK45,AK48,AK51,AK54,AK57,AK60,AK63,AK66,AK69,AK72,AK75,AK78,AK81,AK84,AK87,AK96,AK105)</f>
        <v>0</v>
      </c>
      <c r="AL114" s="379"/>
      <c r="AM114" s="380"/>
      <c r="AN114" s="381"/>
      <c r="AO114" s="437" t="str">
        <f>IF(TRIM(AN114)="", "", IF(VLOOKUP(AN114,'Footnotes list'!$D$9:$E$58,2,FALSE)=0,"",VLOOKUP(AN114,'Footnotes list'!$D$9:$E$58,2,FALSE) ) )</f>
        <v/>
      </c>
      <c r="AP114" s="396">
        <f t="shared" ref="AP114:AP115" si="25">SUM(AP9,AP12,AP15,AP18,AP21,AP24,AP27,AP30,AP33,AP36,AP39,AP42,AP45,AP48,AP51,AP54,AP57,AP60,AP63,AP66,AP69,AP72,AP75,AP78,AP81,AP84,AP87,AP96,AP105)</f>
        <v>0</v>
      </c>
      <c r="AQ114" s="379"/>
      <c r="AR114" s="380"/>
      <c r="AS114" s="381"/>
      <c r="AT114" s="437" t="str">
        <f>IF(TRIM(AS114)="", "", IF(VLOOKUP(AS114,'Footnotes list'!$D$9:$E$58,2,FALSE)=0,"",VLOOKUP(AS114,'Footnotes list'!$D$9:$E$58,2,FALSE) ) )</f>
        <v/>
      </c>
      <c r="AU114" s="396">
        <f t="shared" ref="AU114:AU115" si="26">SUM(AU9,AU12,AU15,AU18,AU21,AU24,AU27,AU30,AU33,AU36,AU39,AU42,AU45,AU48,AU51,AU54,AU57,AU60,AU63,AU66,AU69,AU72,AU75,AU78,AU81,AU84,AU87,AU96,AU105)</f>
        <v>0</v>
      </c>
      <c r="AV114" s="379"/>
      <c r="AW114" s="380"/>
      <c r="AX114" s="381"/>
      <c r="AY114" s="437" t="str">
        <f>IF(TRIM(AX114)="", "", IF(VLOOKUP(AX114,'Footnotes list'!$D$9:$E$58,2,FALSE)=0,"",VLOOKUP(AX114,'Footnotes list'!$D$9:$E$58,2,FALSE) ) )</f>
        <v/>
      </c>
    </row>
    <row r="115" spans="2:51" ht="15" customHeight="1" thickBot="1" x14ac:dyDescent="0.4">
      <c r="B115" s="542"/>
      <c r="C115" s="430" t="s">
        <v>429</v>
      </c>
      <c r="D115" s="545"/>
      <c r="E115" s="422" t="s">
        <v>146</v>
      </c>
      <c r="F115" s="428" t="s">
        <v>234</v>
      </c>
      <c r="G115" s="397">
        <f t="shared" si="18"/>
        <v>0</v>
      </c>
      <c r="H115" s="379"/>
      <c r="I115" s="380"/>
      <c r="J115" s="381"/>
      <c r="K115" s="437" t="str">
        <f>IF(TRIM(J115)="", "", IF(VLOOKUP(J115,'Footnotes list'!$D$9:$E$58,2,FALSE)=0,"",VLOOKUP(J115,'Footnotes list'!$D$9:$E$58,2,FALSE) ) )</f>
        <v/>
      </c>
      <c r="L115" s="398">
        <f t="shared" si="19"/>
        <v>0</v>
      </c>
      <c r="M115" s="379"/>
      <c r="N115" s="380"/>
      <c r="O115" s="381"/>
      <c r="P115" s="437" t="str">
        <f>IF(TRIM(O115)="", "", IF(VLOOKUP(O115,'Footnotes list'!$D$9:$E$58,2,FALSE)=0,"",VLOOKUP(O115,'Footnotes list'!$D$9:$E$58,2,FALSE) ) )</f>
        <v/>
      </c>
      <c r="Q115" s="398">
        <f t="shared" si="20"/>
        <v>0</v>
      </c>
      <c r="R115" s="379"/>
      <c r="S115" s="380"/>
      <c r="T115" s="381"/>
      <c r="U115" s="437" t="str">
        <f>IF(TRIM(T115)="", "", IF(VLOOKUP(T115,'Footnotes list'!$D$9:$E$58,2,FALSE)=0,"",VLOOKUP(T115,'Footnotes list'!$D$9:$E$58,2,FALSE) ) )</f>
        <v/>
      </c>
      <c r="V115" s="398">
        <f t="shared" si="21"/>
        <v>0</v>
      </c>
      <c r="W115" s="379"/>
      <c r="X115" s="380"/>
      <c r="Y115" s="381"/>
      <c r="Z115" s="437" t="str">
        <f>IF(TRIM(Y115)="", "", IF(VLOOKUP(Y115,'Footnotes list'!$D$9:$E$58,2,FALSE)=0,"",VLOOKUP(Y115,'Footnotes list'!$D$9:$E$58,2,FALSE) ) )</f>
        <v/>
      </c>
      <c r="AA115" s="397">
        <f t="shared" si="22"/>
        <v>0</v>
      </c>
      <c r="AB115" s="379"/>
      <c r="AC115" s="380"/>
      <c r="AD115" s="381"/>
      <c r="AE115" s="437" t="str">
        <f>IF(TRIM(AD115)="", "", IF(VLOOKUP(AD115,'Footnotes list'!$D$9:$E$58,2,FALSE)=0,"",VLOOKUP(AD115,'Footnotes list'!$D$9:$E$58,2,FALSE) ) )</f>
        <v/>
      </c>
      <c r="AF115" s="398">
        <f t="shared" si="23"/>
        <v>0</v>
      </c>
      <c r="AG115" s="379"/>
      <c r="AH115" s="380"/>
      <c r="AI115" s="381"/>
      <c r="AJ115" s="437" t="str">
        <f>IF(TRIM(AI115)="", "", IF(VLOOKUP(AI115,'Footnotes list'!$D$9:$E$58,2,FALSE)=0,"",VLOOKUP(AI115,'Footnotes list'!$D$9:$E$58,2,FALSE) ) )</f>
        <v/>
      </c>
      <c r="AK115" s="398">
        <f t="shared" si="24"/>
        <v>0</v>
      </c>
      <c r="AL115" s="379"/>
      <c r="AM115" s="380"/>
      <c r="AN115" s="381"/>
      <c r="AO115" s="437" t="str">
        <f>IF(TRIM(AN115)="", "", IF(VLOOKUP(AN115,'Footnotes list'!$D$9:$E$58,2,FALSE)=0,"",VLOOKUP(AN115,'Footnotes list'!$D$9:$E$58,2,FALSE) ) )</f>
        <v/>
      </c>
      <c r="AP115" s="398">
        <f t="shared" si="25"/>
        <v>0</v>
      </c>
      <c r="AQ115" s="379"/>
      <c r="AR115" s="380"/>
      <c r="AS115" s="381"/>
      <c r="AT115" s="437" t="str">
        <f>IF(TRIM(AS115)="", "", IF(VLOOKUP(AS115,'Footnotes list'!$D$9:$E$58,2,FALSE)=0,"",VLOOKUP(AS115,'Footnotes list'!$D$9:$E$58,2,FALSE) ) )</f>
        <v/>
      </c>
      <c r="AU115" s="397">
        <f t="shared" si="26"/>
        <v>0</v>
      </c>
      <c r="AV115" s="379"/>
      <c r="AW115" s="380"/>
      <c r="AX115" s="381"/>
      <c r="AY115" s="437" t="str">
        <f>IF(TRIM(AX115)="", "", IF(VLOOKUP(AX115,'Footnotes list'!$D$9:$E$58,2,FALSE)=0,"",VLOOKUP(AX115,'Footnotes list'!$D$9:$E$58,2,FALSE) ) )</f>
        <v/>
      </c>
    </row>
    <row r="116" spans="2:51" ht="15" customHeight="1" x14ac:dyDescent="0.35">
      <c r="B116" s="540" t="s">
        <v>143</v>
      </c>
      <c r="C116" s="416" t="s">
        <v>143</v>
      </c>
      <c r="D116" s="543" t="s">
        <v>105</v>
      </c>
      <c r="E116" s="417" t="s">
        <v>144</v>
      </c>
      <c r="F116" s="418" t="s">
        <v>151</v>
      </c>
      <c r="G116" s="395">
        <f>SUM(G8,G11,G14,G17,G20,G23,G26,G29,G32,G35,G38,G41,G44,G47,G50,G53,G56,G59,G62,G65,G68,G71,G74,G77,G80,G83,G86,G89,G92,G95,G98,G101,G104)</f>
        <v>0</v>
      </c>
      <c r="H116" s="373"/>
      <c r="I116" s="374"/>
      <c r="J116" s="375"/>
      <c r="K116" s="433" t="str">
        <f>IF(TRIM(J116)="", "", IF(VLOOKUP(J116,'Footnotes list'!$D$9:$E$58,2,FALSE)=0,"",VLOOKUP(J116,'Footnotes list'!$D$9:$E$58,2,FALSE) ) )</f>
        <v/>
      </c>
      <c r="L116" s="395">
        <f>SUM(L8,L11,L14,L17,L20,L23,L26,L29,L32,L35,L38,L41,L44,L47,L50,L53,L56,L59,L62,L65,L68,L71,L74,L77,L80,L83,L86,L89,L92,L95,L98,L101,L104)</f>
        <v>0</v>
      </c>
      <c r="M116" s="373"/>
      <c r="N116" s="374"/>
      <c r="O116" s="375"/>
      <c r="P116" s="433" t="str">
        <f>IF(TRIM(O116)="", "", IF(VLOOKUP(O116,'Footnotes list'!$D$9:$E$58,2,FALSE)=0,"",VLOOKUP(O116,'Footnotes list'!$D$9:$E$58,2,FALSE) ) )</f>
        <v/>
      </c>
      <c r="Q116" s="395">
        <f>SUM(Q8,Q11,Q14,Q17,Q20,Q23,Q26,Q29,Q32,Q35,Q38,Q41,Q44,Q47,Q50,Q53,Q56,Q59,Q62,Q65,Q68,Q71,Q74,Q77,Q80,Q83,Q86,Q89,Q92,Q95,Q98,Q101,Q104)</f>
        <v>0</v>
      </c>
      <c r="R116" s="373"/>
      <c r="S116" s="374"/>
      <c r="T116" s="375"/>
      <c r="U116" s="433" t="str">
        <f>IF(TRIM(T116)="", "", IF(VLOOKUP(T116,'Footnotes list'!$D$9:$E$58,2,FALSE)=0,"",VLOOKUP(T116,'Footnotes list'!$D$9:$E$58,2,FALSE) ) )</f>
        <v/>
      </c>
      <c r="V116" s="395">
        <f>SUM(V8,V11,V14,V17,V20,V23,V26,V29,V32,V35,V38,V41,V44,V47,V50,V53,V56,V59,V62,V65,V68,V71,V74,V77,V80,V83,V86,V89,V92,V95,V98,V101,V104)</f>
        <v>0</v>
      </c>
      <c r="W116" s="373"/>
      <c r="X116" s="374"/>
      <c r="Y116" s="375"/>
      <c r="Z116" s="433" t="str">
        <f>IF(TRIM(Y116)="", "", IF(VLOOKUP(Y116,'Footnotes list'!$D$9:$E$58,2,FALSE)=0,"",VLOOKUP(Y116,'Footnotes list'!$D$9:$E$58,2,FALSE) ) )</f>
        <v/>
      </c>
      <c r="AA116" s="395">
        <f>SUM(AA8,AA11,AA14,AA17,AA20,AA23,AA26,AA29,AA32,AA35,AA38,AA41,AA44,AA47,AA50,AA53,AA56,AA59,AA62,AA65,AA68,AA71,AA74,AA77,AA80,AA83,AA86,AA89,AA92,AA95,AA98,AA101,AA104)</f>
        <v>0</v>
      </c>
      <c r="AB116" s="373"/>
      <c r="AC116" s="374"/>
      <c r="AD116" s="375"/>
      <c r="AE116" s="433" t="str">
        <f>IF(TRIM(AD116)="", "", IF(VLOOKUP(AD116,'Footnotes list'!$D$9:$E$58,2,FALSE)=0,"",VLOOKUP(AD116,'Footnotes list'!$D$9:$E$58,2,FALSE) ) )</f>
        <v/>
      </c>
      <c r="AF116" s="395">
        <f>SUM(AF8,AF11,AF14,AF17,AF20,AF23,AF26,AF29,AF32,AF35,AF38,AF41,AF44,AF47,AF50,AF53,AF56,AF59,AF62,AF65,AF68,AF71,AF74,AF77,AF80,AF83,AF86,AF89,AF92,AF95,AF98,AF101,AF104)</f>
        <v>0</v>
      </c>
      <c r="AG116" s="373"/>
      <c r="AH116" s="374"/>
      <c r="AI116" s="375"/>
      <c r="AJ116" s="433" t="str">
        <f>IF(TRIM(AI116)="", "", IF(VLOOKUP(AI116,'Footnotes list'!$D$9:$E$58,2,FALSE)=0,"",VLOOKUP(AI116,'Footnotes list'!$D$9:$E$58,2,FALSE) ) )</f>
        <v/>
      </c>
      <c r="AK116" s="395">
        <f>SUM(AK8,AK11,AK14,AK17,AK20,AK23,AK26,AK29,AK32,AK35,AK38,AK41,AK44,AK47,AK50,AK53,AK56,AK59,AK62,AK65,AK68,AK71,AK74,AK77,AK80,AK83,AK86,AK89,AK92,AK95,AK98,AK101,AK104)</f>
        <v>0</v>
      </c>
      <c r="AL116" s="373"/>
      <c r="AM116" s="374"/>
      <c r="AN116" s="375"/>
      <c r="AO116" s="433" t="str">
        <f>IF(TRIM(AN116)="", "", IF(VLOOKUP(AN116,'Footnotes list'!$D$9:$E$58,2,FALSE)=0,"",VLOOKUP(AN116,'Footnotes list'!$D$9:$E$58,2,FALSE) ) )</f>
        <v/>
      </c>
      <c r="AP116" s="395">
        <f>SUM(AP8,AP11,AP14,AP17,AP20,AP23,AP26,AP29,AP32,AP35,AP38,AP41,AP44,AP47,AP50,AP53,AP56,AP59,AP62,AP65,AP68,AP71,AP74,AP77,AP80,AP83,AP86,AP89,AP92,AP95,AP98,AP101,AP104)</f>
        <v>0</v>
      </c>
      <c r="AQ116" s="373"/>
      <c r="AR116" s="374"/>
      <c r="AS116" s="375"/>
      <c r="AT116" s="433" t="str">
        <f>IF(TRIM(AS116)="", "", IF(VLOOKUP(AS116,'Footnotes list'!$D$9:$E$58,2,FALSE)=0,"",VLOOKUP(AS116,'Footnotes list'!$D$9:$E$58,2,FALSE) ) )</f>
        <v/>
      </c>
      <c r="AU116" s="395">
        <f>SUM(AU8,AU11,AU14,AU17,AU20,AU23,AU26,AU29,AU32,AU35,AU38,AU41,AU44,AU47,AU50,AU53,AU56,AU59,AU62,AU65,AU68,AU71,AU74,AU77,AU80,AU83,AU86,AU89,AU92,AU95,AU98,AU101,AU104)</f>
        <v>0</v>
      </c>
      <c r="AV116" s="373"/>
      <c r="AW116" s="374"/>
      <c r="AX116" s="375"/>
      <c r="AY116" s="433" t="str">
        <f>IF(TRIM(AX116)="", "", IF(VLOOKUP(AX116,'Footnotes list'!$D$9:$E$58,2,FALSE)=0,"",VLOOKUP(AX116,'Footnotes list'!$D$9:$E$58,2,FALSE) ) )</f>
        <v/>
      </c>
    </row>
    <row r="117" spans="2:51" ht="15" customHeight="1" x14ac:dyDescent="0.35">
      <c r="B117" s="541"/>
      <c r="C117" s="424" t="s">
        <v>143</v>
      </c>
      <c r="D117" s="544"/>
      <c r="E117" s="425" t="s">
        <v>145</v>
      </c>
      <c r="F117" s="426" t="s">
        <v>152</v>
      </c>
      <c r="G117" s="396">
        <f t="shared" ref="G117:G118" si="27">SUM(G9,G12,G15,G18,G21,G24,G27,G30,G33,G36,G39,G42,G45,G48,G51,G54,G57,G60,G63,G66,G69,G72,G75,G78,G81,G84,G87,G90,G93,G96,G99,G102,G105)</f>
        <v>0</v>
      </c>
      <c r="H117" s="379"/>
      <c r="I117" s="380"/>
      <c r="J117" s="381"/>
      <c r="K117" s="437" t="str">
        <f>IF(TRIM(J117)="", "", IF(VLOOKUP(J117,'Footnotes list'!$D$9:$E$58,2,FALSE)=0,"",VLOOKUP(J117,'Footnotes list'!$D$9:$E$58,2,FALSE) ) )</f>
        <v/>
      </c>
      <c r="L117" s="396">
        <f t="shared" ref="L117:L118" si="28">SUM(L9,L12,L15,L18,L21,L24,L27,L30,L33,L36,L39,L42,L45,L48,L51,L54,L57,L60,L63,L66,L69,L72,L75,L78,L81,L84,L87,L90,L93,L96,L99,L102,L105)</f>
        <v>0</v>
      </c>
      <c r="M117" s="379"/>
      <c r="N117" s="380"/>
      <c r="O117" s="381"/>
      <c r="P117" s="437" t="str">
        <f>IF(TRIM(O117)="", "", IF(VLOOKUP(O117,'Footnotes list'!$D$9:$E$58,2,FALSE)=0,"",VLOOKUP(O117,'Footnotes list'!$D$9:$E$58,2,FALSE) ) )</f>
        <v/>
      </c>
      <c r="Q117" s="396">
        <f t="shared" ref="Q117:Q118" si="29">SUM(Q9,Q12,Q15,Q18,Q21,Q24,Q27,Q30,Q33,Q36,Q39,Q42,Q45,Q48,Q51,Q54,Q57,Q60,Q63,Q66,Q69,Q72,Q75,Q78,Q81,Q84,Q87,Q90,Q93,Q96,Q99,Q102,Q105)</f>
        <v>0</v>
      </c>
      <c r="R117" s="379"/>
      <c r="S117" s="380"/>
      <c r="T117" s="381"/>
      <c r="U117" s="437" t="str">
        <f>IF(TRIM(T117)="", "", IF(VLOOKUP(T117,'Footnotes list'!$D$9:$E$58,2,FALSE)=0,"",VLOOKUP(T117,'Footnotes list'!$D$9:$E$58,2,FALSE) ) )</f>
        <v/>
      </c>
      <c r="V117" s="396">
        <f t="shared" ref="V117:V118" si="30">SUM(V9,V12,V15,V18,V21,V24,V27,V30,V33,V36,V39,V42,V45,V48,V51,V54,V57,V60,V63,V66,V69,V72,V75,V78,V81,V84,V87,V90,V93,V96,V99,V102,V105)</f>
        <v>0</v>
      </c>
      <c r="W117" s="379"/>
      <c r="X117" s="380"/>
      <c r="Y117" s="381"/>
      <c r="Z117" s="437" t="str">
        <f>IF(TRIM(Y117)="", "", IF(VLOOKUP(Y117,'Footnotes list'!$D$9:$E$58,2,FALSE)=0,"",VLOOKUP(Y117,'Footnotes list'!$D$9:$E$58,2,FALSE) ) )</f>
        <v/>
      </c>
      <c r="AA117" s="399">
        <f t="shared" ref="AA117:AA118" si="31">SUM(AA9,AA12,AA15,AA18,AA21,AA24,AA27,AA30,AA33,AA36,AA39,AA42,AA45,AA48,AA51,AA54,AA57,AA60,AA63,AA66,AA69,AA72,AA75,AA78,AA81,AA84,AA87,AA90,AA93,AA96,AA99,AA102,AA105)</f>
        <v>0</v>
      </c>
      <c r="AB117" s="379"/>
      <c r="AC117" s="380"/>
      <c r="AD117" s="381"/>
      <c r="AE117" s="437" t="str">
        <f>IF(TRIM(AD117)="", "", IF(VLOOKUP(AD117,'Footnotes list'!$D$9:$E$58,2,FALSE)=0,"",VLOOKUP(AD117,'Footnotes list'!$D$9:$E$58,2,FALSE) ) )</f>
        <v/>
      </c>
      <c r="AF117" s="396">
        <f t="shared" ref="AF117:AF118" si="32">SUM(AF9,AF12,AF15,AF18,AF21,AF24,AF27,AF30,AF33,AF36,AF39,AF42,AF45,AF48,AF51,AF54,AF57,AF60,AF63,AF66,AF69,AF72,AF75,AF78,AF81,AF84,AF87,AF90,AF93,AF96,AF99,AF102,AF105)</f>
        <v>0</v>
      </c>
      <c r="AG117" s="379"/>
      <c r="AH117" s="380"/>
      <c r="AI117" s="381"/>
      <c r="AJ117" s="437" t="str">
        <f>IF(TRIM(AI117)="", "", IF(VLOOKUP(AI117,'Footnotes list'!$D$9:$E$58,2,FALSE)=0,"",VLOOKUP(AI117,'Footnotes list'!$D$9:$E$58,2,FALSE) ) )</f>
        <v/>
      </c>
      <c r="AK117" s="396">
        <f t="shared" ref="AK117:AK118" si="33">SUM(AK9,AK12,AK15,AK18,AK21,AK24,AK27,AK30,AK33,AK36,AK39,AK42,AK45,AK48,AK51,AK54,AK57,AK60,AK63,AK66,AK69,AK72,AK75,AK78,AK81,AK84,AK87,AK90,AK93,AK96,AK99,AK102,AK105)</f>
        <v>0</v>
      </c>
      <c r="AL117" s="379"/>
      <c r="AM117" s="380"/>
      <c r="AN117" s="381"/>
      <c r="AO117" s="437" t="str">
        <f>IF(TRIM(AN117)="", "", IF(VLOOKUP(AN117,'Footnotes list'!$D$9:$E$58,2,FALSE)=0,"",VLOOKUP(AN117,'Footnotes list'!$D$9:$E$58,2,FALSE) ) )</f>
        <v/>
      </c>
      <c r="AP117" s="396">
        <f t="shared" ref="AP117:AP118" si="34">SUM(AP9,AP12,AP15,AP18,AP21,AP24,AP27,AP30,AP33,AP36,AP39,AP42,AP45,AP48,AP51,AP54,AP57,AP60,AP63,AP66,AP69,AP72,AP75,AP78,AP81,AP84,AP87,AP90,AP93,AP96,AP99,AP102,AP105)</f>
        <v>0</v>
      </c>
      <c r="AQ117" s="379"/>
      <c r="AR117" s="380"/>
      <c r="AS117" s="381"/>
      <c r="AT117" s="437" t="str">
        <f>IF(TRIM(AS117)="", "", IF(VLOOKUP(AS117,'Footnotes list'!$D$9:$E$58,2,FALSE)=0,"",VLOOKUP(AS117,'Footnotes list'!$D$9:$E$58,2,FALSE) ) )</f>
        <v/>
      </c>
      <c r="AU117" s="396">
        <f t="shared" ref="AU117:AU118" si="35">SUM(AU9,AU12,AU15,AU18,AU21,AU24,AU27,AU30,AU33,AU36,AU39,AU42,AU45,AU48,AU51,AU54,AU57,AU60,AU63,AU66,AU69,AU72,AU75,AU78,AU81,AU84,AU87,AU90,AU93,AU96,AU99,AU102,AU105)</f>
        <v>0</v>
      </c>
      <c r="AV117" s="379"/>
      <c r="AW117" s="380"/>
      <c r="AX117" s="381"/>
      <c r="AY117" s="437" t="str">
        <f>IF(TRIM(AX117)="", "", IF(VLOOKUP(AX117,'Footnotes list'!$D$9:$E$58,2,FALSE)=0,"",VLOOKUP(AX117,'Footnotes list'!$D$9:$E$58,2,FALSE) ) )</f>
        <v/>
      </c>
    </row>
    <row r="118" spans="2:51" ht="15" customHeight="1" thickBot="1" x14ac:dyDescent="0.4">
      <c r="B118" s="542"/>
      <c r="C118" s="427" t="s">
        <v>143</v>
      </c>
      <c r="D118" s="545"/>
      <c r="E118" s="422" t="s">
        <v>146</v>
      </c>
      <c r="F118" s="428" t="s">
        <v>234</v>
      </c>
      <c r="G118" s="397">
        <f t="shared" si="27"/>
        <v>0</v>
      </c>
      <c r="H118" s="379"/>
      <c r="I118" s="380"/>
      <c r="J118" s="381"/>
      <c r="K118" s="437" t="str">
        <f>IF(TRIM(J118)="", "", IF(VLOOKUP(J118,'Footnotes list'!$D$9:$E$58,2,FALSE)=0,"",VLOOKUP(J118,'Footnotes list'!$D$9:$E$58,2,FALSE) ) )</f>
        <v/>
      </c>
      <c r="L118" s="398">
        <f t="shared" si="28"/>
        <v>0</v>
      </c>
      <c r="M118" s="379"/>
      <c r="N118" s="380"/>
      <c r="O118" s="381"/>
      <c r="P118" s="437" t="str">
        <f>IF(TRIM(O118)="", "", IF(VLOOKUP(O118,'Footnotes list'!$D$9:$E$58,2,FALSE)=0,"",VLOOKUP(O118,'Footnotes list'!$D$9:$E$58,2,FALSE) ) )</f>
        <v/>
      </c>
      <c r="Q118" s="398">
        <f t="shared" si="29"/>
        <v>0</v>
      </c>
      <c r="R118" s="379"/>
      <c r="S118" s="380"/>
      <c r="T118" s="381"/>
      <c r="U118" s="437" t="str">
        <f>IF(TRIM(T118)="", "", IF(VLOOKUP(T118,'Footnotes list'!$D$9:$E$58,2,FALSE)=0,"",VLOOKUP(T118,'Footnotes list'!$D$9:$E$58,2,FALSE) ) )</f>
        <v/>
      </c>
      <c r="V118" s="398">
        <f t="shared" si="30"/>
        <v>0</v>
      </c>
      <c r="W118" s="379"/>
      <c r="X118" s="380"/>
      <c r="Y118" s="381"/>
      <c r="Z118" s="437" t="str">
        <f>IF(TRIM(Y118)="", "", IF(VLOOKUP(Y118,'Footnotes list'!$D$9:$E$58,2,FALSE)=0,"",VLOOKUP(Y118,'Footnotes list'!$D$9:$E$58,2,FALSE) ) )</f>
        <v/>
      </c>
      <c r="AA118" s="397">
        <f t="shared" si="31"/>
        <v>0</v>
      </c>
      <c r="AB118" s="379"/>
      <c r="AC118" s="380"/>
      <c r="AD118" s="381"/>
      <c r="AE118" s="437" t="str">
        <f>IF(TRIM(AD118)="", "", IF(VLOOKUP(AD118,'Footnotes list'!$D$9:$E$58,2,FALSE)=0,"",VLOOKUP(AD118,'Footnotes list'!$D$9:$E$58,2,FALSE) ) )</f>
        <v/>
      </c>
      <c r="AF118" s="398">
        <f t="shared" si="32"/>
        <v>0</v>
      </c>
      <c r="AG118" s="379"/>
      <c r="AH118" s="380"/>
      <c r="AI118" s="381"/>
      <c r="AJ118" s="437" t="str">
        <f>IF(TRIM(AI118)="", "", IF(VLOOKUP(AI118,'Footnotes list'!$D$9:$E$58,2,FALSE)=0,"",VLOOKUP(AI118,'Footnotes list'!$D$9:$E$58,2,FALSE) ) )</f>
        <v/>
      </c>
      <c r="AK118" s="398">
        <f t="shared" si="33"/>
        <v>0</v>
      </c>
      <c r="AL118" s="379"/>
      <c r="AM118" s="380"/>
      <c r="AN118" s="381"/>
      <c r="AO118" s="437" t="str">
        <f>IF(TRIM(AN118)="", "", IF(VLOOKUP(AN118,'Footnotes list'!$D$9:$E$58,2,FALSE)=0,"",VLOOKUP(AN118,'Footnotes list'!$D$9:$E$58,2,FALSE) ) )</f>
        <v/>
      </c>
      <c r="AP118" s="398">
        <f t="shared" si="34"/>
        <v>0</v>
      </c>
      <c r="AQ118" s="379"/>
      <c r="AR118" s="380"/>
      <c r="AS118" s="381"/>
      <c r="AT118" s="437" t="str">
        <f>IF(TRIM(AS118)="", "", IF(VLOOKUP(AS118,'Footnotes list'!$D$9:$E$58,2,FALSE)=0,"",VLOOKUP(AS118,'Footnotes list'!$D$9:$E$58,2,FALSE) ) )</f>
        <v/>
      </c>
      <c r="AU118" s="397">
        <f t="shared" si="35"/>
        <v>0</v>
      </c>
      <c r="AV118" s="379"/>
      <c r="AW118" s="380"/>
      <c r="AX118" s="381"/>
      <c r="AY118" s="437" t="str">
        <f>IF(TRIM(AX118)="", "", IF(VLOOKUP(AX118,'Footnotes list'!$D$9:$E$58,2,FALSE)=0,"",VLOOKUP(AX118,'Footnotes list'!$D$9:$E$58,2,FALSE) ) )</f>
        <v/>
      </c>
    </row>
    <row r="120" spans="2:51" ht="15" customHeight="1" x14ac:dyDescent="0.35">
      <c r="B120" s="58" t="s">
        <v>242</v>
      </c>
      <c r="C120" s="59"/>
      <c r="D120" s="60"/>
      <c r="E120" s="60"/>
      <c r="G120" s="40"/>
      <c r="H120" s="40"/>
      <c r="I120" s="60"/>
      <c r="J120" s="61"/>
      <c r="W120" s="62"/>
      <c r="X120" s="62"/>
      <c r="Y120" s="62"/>
      <c r="Z120" s="62"/>
      <c r="AB120" s="62"/>
      <c r="AC120" s="62"/>
      <c r="AD120" s="62"/>
      <c r="AE120" s="62"/>
      <c r="AF120" s="62"/>
      <c r="AQ120" s="62"/>
      <c r="AR120" s="62"/>
      <c r="AS120" s="62"/>
      <c r="AT120" s="62"/>
    </row>
    <row r="121" spans="2:51" ht="6" customHeight="1" x14ac:dyDescent="0.35">
      <c r="B121" s="59"/>
      <c r="C121" s="59"/>
      <c r="D121" s="60"/>
      <c r="E121" s="60"/>
      <c r="G121" s="40"/>
      <c r="H121" s="40"/>
      <c r="I121" s="60"/>
      <c r="J121" s="61"/>
      <c r="W121" s="62"/>
      <c r="X121" s="62"/>
      <c r="Y121" s="62"/>
      <c r="Z121" s="62"/>
      <c r="AB121" s="62"/>
      <c r="AC121" s="62"/>
      <c r="AD121" s="62"/>
      <c r="AE121" s="62"/>
      <c r="AF121" s="62"/>
      <c r="AQ121" s="62"/>
      <c r="AR121" s="62"/>
      <c r="AS121" s="62"/>
      <c r="AT121" s="62"/>
    </row>
    <row r="122" spans="2:51" x14ac:dyDescent="0.35">
      <c r="B122" s="59" t="s">
        <v>243</v>
      </c>
      <c r="C122" s="59"/>
      <c r="D122" s="60"/>
      <c r="E122" s="60"/>
      <c r="G122" s="40"/>
      <c r="H122" s="40"/>
      <c r="I122" s="60"/>
      <c r="J122" s="61"/>
      <c r="W122" s="62"/>
      <c r="X122" s="62"/>
      <c r="Y122" s="62"/>
      <c r="Z122" s="62"/>
      <c r="AB122" s="62"/>
      <c r="AC122" s="62"/>
      <c r="AD122" s="62"/>
      <c r="AE122" s="62"/>
      <c r="AF122" s="62"/>
      <c r="AQ122" s="62"/>
      <c r="AR122" s="62"/>
      <c r="AS122" s="62"/>
      <c r="AT122" s="62"/>
    </row>
    <row r="123" spans="2:51" x14ac:dyDescent="0.35">
      <c r="B123" s="63" t="s">
        <v>244</v>
      </c>
      <c r="C123" s="83"/>
      <c r="D123" s="71"/>
      <c r="E123" s="64"/>
      <c r="G123" s="40"/>
      <c r="H123" s="40"/>
      <c r="I123" s="64"/>
      <c r="J123" s="64"/>
      <c r="W123" s="62"/>
      <c r="X123" s="62"/>
      <c r="Y123" s="62"/>
      <c r="Z123" s="62"/>
      <c r="AB123" s="62"/>
      <c r="AC123" s="62"/>
      <c r="AD123" s="62"/>
      <c r="AE123" s="62"/>
      <c r="AF123" s="62"/>
      <c r="AQ123" s="62"/>
      <c r="AR123" s="62"/>
      <c r="AS123" s="62"/>
      <c r="AT123" s="62"/>
    </row>
    <row r="124" spans="2:51" x14ac:dyDescent="0.35">
      <c r="B124" s="84" t="s">
        <v>293</v>
      </c>
      <c r="C124" s="85"/>
      <c r="D124" s="86"/>
      <c r="E124" s="65"/>
      <c r="G124" s="40"/>
      <c r="H124" s="40"/>
      <c r="I124" s="65"/>
      <c r="J124" s="65"/>
      <c r="W124" s="62"/>
      <c r="X124" s="62"/>
      <c r="Y124" s="62"/>
      <c r="Z124" s="62"/>
      <c r="AB124" s="62"/>
      <c r="AC124" s="62"/>
      <c r="AD124" s="62"/>
      <c r="AE124" s="62"/>
      <c r="AF124" s="62"/>
      <c r="AQ124" s="62"/>
      <c r="AR124" s="62"/>
      <c r="AS124" s="62"/>
      <c r="AT124" s="62"/>
    </row>
    <row r="125" spans="2:51" x14ac:dyDescent="0.35">
      <c r="B125" s="66" t="s">
        <v>245</v>
      </c>
      <c r="C125" s="66"/>
      <c r="D125" s="72"/>
      <c r="E125" s="64"/>
      <c r="G125" s="40"/>
      <c r="H125" s="40"/>
      <c r="I125" s="64"/>
      <c r="J125" s="64"/>
      <c r="W125" s="62"/>
      <c r="X125" s="62"/>
      <c r="Y125" s="62"/>
      <c r="Z125" s="62"/>
      <c r="AB125" s="62"/>
      <c r="AC125" s="62"/>
      <c r="AD125" s="62"/>
      <c r="AE125" s="62"/>
      <c r="AF125" s="62"/>
      <c r="AQ125" s="62"/>
      <c r="AR125" s="62"/>
      <c r="AS125" s="62"/>
      <c r="AT125" s="62"/>
    </row>
    <row r="126" spans="2:51" x14ac:dyDescent="0.35">
      <c r="B126" s="81" t="s">
        <v>246</v>
      </c>
      <c r="C126" s="74"/>
      <c r="D126" s="73"/>
      <c r="E126" s="64"/>
      <c r="G126" s="40"/>
      <c r="H126" s="40"/>
      <c r="I126" s="64"/>
      <c r="J126" s="64"/>
      <c r="W126" s="62"/>
      <c r="X126" s="62"/>
      <c r="Y126" s="62"/>
      <c r="Z126" s="62"/>
      <c r="AB126" s="62"/>
      <c r="AC126" s="62"/>
      <c r="AD126" s="62"/>
      <c r="AE126" s="62"/>
      <c r="AF126" s="62"/>
      <c r="AQ126" s="62"/>
      <c r="AR126" s="62"/>
      <c r="AS126" s="62"/>
      <c r="AT126" s="62"/>
    </row>
    <row r="127" spans="2:51" ht="6.75" customHeight="1" x14ac:dyDescent="0.35">
      <c r="B127" s="67"/>
      <c r="C127" s="67"/>
      <c r="D127" s="61"/>
      <c r="E127" s="61"/>
      <c r="G127" s="40"/>
      <c r="H127" s="40"/>
      <c r="I127" s="61"/>
      <c r="J127" s="61"/>
      <c r="W127" s="62"/>
      <c r="X127" s="62"/>
      <c r="Y127" s="62"/>
      <c r="Z127" s="62"/>
      <c r="AB127" s="62"/>
      <c r="AC127" s="62"/>
      <c r="AD127" s="62"/>
      <c r="AE127" s="62"/>
      <c r="AF127" s="62"/>
      <c r="AQ127" s="62"/>
      <c r="AR127" s="62"/>
      <c r="AS127" s="62"/>
      <c r="AT127" s="62"/>
    </row>
    <row r="128" spans="2:51" ht="6.75" customHeight="1" x14ac:dyDescent="0.35">
      <c r="B128" s="67"/>
      <c r="C128" s="67"/>
      <c r="D128" s="61"/>
      <c r="E128" s="61"/>
      <c r="G128" s="40"/>
      <c r="H128" s="40"/>
      <c r="I128" s="61"/>
      <c r="J128" s="61"/>
      <c r="W128" s="62"/>
      <c r="X128" s="62"/>
      <c r="Y128" s="62"/>
      <c r="Z128" s="62"/>
      <c r="AB128" s="62"/>
      <c r="AC128" s="62"/>
      <c r="AD128" s="62"/>
      <c r="AE128" s="62"/>
      <c r="AF128" s="62"/>
      <c r="AQ128" s="62"/>
      <c r="AR128" s="62"/>
      <c r="AS128" s="62"/>
      <c r="AT128" s="62"/>
    </row>
    <row r="129" spans="2:46" x14ac:dyDescent="0.35">
      <c r="B129" s="59" t="s">
        <v>247</v>
      </c>
      <c r="C129" s="68"/>
      <c r="D129" s="69"/>
      <c r="E129" s="69"/>
      <c r="G129" s="40"/>
      <c r="H129" s="40"/>
      <c r="I129" s="69"/>
      <c r="J129" s="69"/>
      <c r="W129" s="62"/>
      <c r="X129" s="62"/>
      <c r="Y129" s="62"/>
      <c r="Z129" s="62"/>
      <c r="AB129" s="62"/>
      <c r="AC129" s="62"/>
      <c r="AD129" s="62"/>
      <c r="AE129" s="62"/>
      <c r="AF129" s="62"/>
      <c r="AQ129" s="62"/>
      <c r="AR129" s="62"/>
      <c r="AS129" s="62"/>
      <c r="AT129" s="62"/>
    </row>
    <row r="130" spans="2:46" x14ac:dyDescent="0.35">
      <c r="B130" s="70" t="s">
        <v>249</v>
      </c>
      <c r="C130" s="70"/>
      <c r="D130" s="65"/>
      <c r="E130" s="65"/>
      <c r="G130" s="40"/>
      <c r="H130" s="40"/>
      <c r="I130" s="65"/>
      <c r="J130" s="65"/>
      <c r="W130" s="62"/>
      <c r="X130" s="62"/>
      <c r="Y130" s="62"/>
      <c r="Z130" s="62"/>
      <c r="AB130" s="62"/>
      <c r="AC130" s="62"/>
      <c r="AD130" s="62"/>
      <c r="AE130" s="62"/>
      <c r="AF130" s="62"/>
      <c r="AQ130" s="62"/>
      <c r="AR130" s="62"/>
      <c r="AS130" s="62"/>
      <c r="AT130" s="62"/>
    </row>
    <row r="131" spans="2:46" x14ac:dyDescent="0.35">
      <c r="B131" s="70" t="s">
        <v>248</v>
      </c>
      <c r="C131" s="70"/>
      <c r="D131" s="65"/>
      <c r="E131" s="65"/>
      <c r="G131" s="40"/>
      <c r="H131" s="40"/>
      <c r="I131" s="65"/>
      <c r="J131" s="65"/>
      <c r="W131" s="62"/>
      <c r="X131" s="62"/>
      <c r="Y131" s="62"/>
      <c r="Z131" s="62"/>
      <c r="AB131" s="62"/>
      <c r="AC131" s="62"/>
      <c r="AD131" s="62"/>
      <c r="AE131" s="62"/>
      <c r="AF131" s="62"/>
      <c r="AQ131" s="62"/>
      <c r="AR131" s="62"/>
      <c r="AS131" s="62"/>
      <c r="AT131" s="62"/>
    </row>
    <row r="132" spans="2:46" x14ac:dyDescent="0.35">
      <c r="B132" s="70" t="s">
        <v>250</v>
      </c>
      <c r="C132" s="70"/>
      <c r="D132" s="65"/>
      <c r="E132" s="65"/>
      <c r="G132" s="40"/>
      <c r="H132" s="40"/>
      <c r="I132" s="65"/>
      <c r="J132" s="65"/>
      <c r="W132" s="62"/>
      <c r="X132" s="62"/>
      <c r="Y132" s="62"/>
      <c r="Z132" s="62"/>
      <c r="AB132" s="62"/>
      <c r="AC132" s="62"/>
      <c r="AD132" s="62"/>
      <c r="AE132" s="62"/>
      <c r="AF132" s="62"/>
      <c r="AQ132" s="62"/>
      <c r="AR132" s="62"/>
      <c r="AS132" s="62"/>
      <c r="AT132" s="62"/>
    </row>
    <row r="133" spans="2:46" x14ac:dyDescent="0.35">
      <c r="B133" s="70"/>
      <c r="C133" s="70"/>
      <c r="D133" s="65"/>
      <c r="E133" s="65"/>
      <c r="G133" s="40"/>
      <c r="H133" s="40"/>
      <c r="I133" s="65"/>
      <c r="J133" s="65"/>
      <c r="W133" s="62"/>
      <c r="X133" s="62"/>
      <c r="Y133" s="62"/>
      <c r="Z133" s="62"/>
      <c r="AB133" s="62"/>
      <c r="AC133" s="62"/>
      <c r="AD133" s="62"/>
      <c r="AE133" s="62"/>
      <c r="AF133" s="62"/>
      <c r="AQ133" s="62"/>
      <c r="AR133" s="62"/>
      <c r="AS133" s="62"/>
      <c r="AT133" s="62"/>
    </row>
    <row r="134" spans="2:46" x14ac:dyDescent="0.35">
      <c r="B134" s="59" t="s">
        <v>251</v>
      </c>
    </row>
    <row r="135" spans="2:46" x14ac:dyDescent="0.35">
      <c r="B135" s="70" t="s">
        <v>253</v>
      </c>
    </row>
    <row r="136" spans="2:46" x14ac:dyDescent="0.35">
      <c r="B136" s="70" t="s">
        <v>252</v>
      </c>
    </row>
  </sheetData>
  <sheetProtection algorithmName="SHA-512" hashValue="vaovNviZl+Bf6yS85lW5hMvQuh43cDlWYIitCC5Bfdem53pxcnTML0B1ediQKnGav8V0F7S6siuxz/HemOSivg==" saltValue="WOf2Yv8sWxdJaoiNorcY/Q==" spinCount="100000" sheet="1" objects="1" scenarios="1"/>
  <mergeCells count="94">
    <mergeCell ref="B113:B115"/>
    <mergeCell ref="D113:D115"/>
    <mergeCell ref="B116:B118"/>
    <mergeCell ref="D116:D118"/>
    <mergeCell ref="G2:AY4"/>
    <mergeCell ref="B104:B106"/>
    <mergeCell ref="D104:D106"/>
    <mergeCell ref="B107:B109"/>
    <mergeCell ref="D107:D109"/>
    <mergeCell ref="B110:B112"/>
    <mergeCell ref="D110:D112"/>
    <mergeCell ref="B95:B97"/>
    <mergeCell ref="D95:D97"/>
    <mergeCell ref="B98:B100"/>
    <mergeCell ref="D98:D100"/>
    <mergeCell ref="B101:B103"/>
    <mergeCell ref="D101:D103"/>
    <mergeCell ref="B86:B88"/>
    <mergeCell ref="D86:D88"/>
    <mergeCell ref="B89:B91"/>
    <mergeCell ref="D89:D91"/>
    <mergeCell ref="B92:B94"/>
    <mergeCell ref="D92:D94"/>
    <mergeCell ref="B77:B79"/>
    <mergeCell ref="D77:D79"/>
    <mergeCell ref="B80:B82"/>
    <mergeCell ref="D80:D82"/>
    <mergeCell ref="B83:B85"/>
    <mergeCell ref="D83:D85"/>
    <mergeCell ref="B68:B70"/>
    <mergeCell ref="D68:D70"/>
    <mergeCell ref="B71:B73"/>
    <mergeCell ref="D71:D73"/>
    <mergeCell ref="B74:B76"/>
    <mergeCell ref="D74:D76"/>
    <mergeCell ref="B59:B61"/>
    <mergeCell ref="D59:D61"/>
    <mergeCell ref="B62:B64"/>
    <mergeCell ref="D62:D64"/>
    <mergeCell ref="B65:B67"/>
    <mergeCell ref="D65:D67"/>
    <mergeCell ref="B50:B52"/>
    <mergeCell ref="D50:D52"/>
    <mergeCell ref="B53:B55"/>
    <mergeCell ref="D53:D55"/>
    <mergeCell ref="B56:B58"/>
    <mergeCell ref="D56:D58"/>
    <mergeCell ref="B41:B43"/>
    <mergeCell ref="D41:D43"/>
    <mergeCell ref="B44:B46"/>
    <mergeCell ref="D44:D46"/>
    <mergeCell ref="B47:B49"/>
    <mergeCell ref="D47:D49"/>
    <mergeCell ref="B32:B34"/>
    <mergeCell ref="D32:D34"/>
    <mergeCell ref="B35:B37"/>
    <mergeCell ref="D35:D37"/>
    <mergeCell ref="B38:B40"/>
    <mergeCell ref="D38:D40"/>
    <mergeCell ref="B23:B25"/>
    <mergeCell ref="D23:D25"/>
    <mergeCell ref="B26:B28"/>
    <mergeCell ref="D26:D28"/>
    <mergeCell ref="B29:B31"/>
    <mergeCell ref="D29:D31"/>
    <mergeCell ref="B14:B16"/>
    <mergeCell ref="D14:D16"/>
    <mergeCell ref="B17:B19"/>
    <mergeCell ref="D17:D19"/>
    <mergeCell ref="B20:B22"/>
    <mergeCell ref="D20:D22"/>
    <mergeCell ref="AP5:AT5"/>
    <mergeCell ref="AU5:AY5"/>
    <mergeCell ref="B7:F7"/>
    <mergeCell ref="J7:K7"/>
    <mergeCell ref="O7:P7"/>
    <mergeCell ref="T7:U7"/>
    <mergeCell ref="Y7:Z7"/>
    <mergeCell ref="AD7:AE7"/>
    <mergeCell ref="AI7:AJ7"/>
    <mergeCell ref="G5:K5"/>
    <mergeCell ref="L5:P5"/>
    <mergeCell ref="Q5:U5"/>
    <mergeCell ref="V5:Z5"/>
    <mergeCell ref="AN7:AO7"/>
    <mergeCell ref="AS7:AT7"/>
    <mergeCell ref="AX7:AY7"/>
    <mergeCell ref="AA5:AE5"/>
    <mergeCell ref="AF5:AJ5"/>
    <mergeCell ref="B11:B13"/>
    <mergeCell ref="D11:D13"/>
    <mergeCell ref="AK5:AO5"/>
    <mergeCell ref="B8:B10"/>
    <mergeCell ref="D8:D10"/>
  </mergeCells>
  <dataValidations count="2">
    <dataValidation type="decimal" allowBlank="1" showInputMessage="1" showErrorMessage="1" error="Value must be a positive number" sqref="Q106:Q118 L106:L118 V106:V118 AK106:AK118 L9:L10 G9:G10 V9:V10 Q9:Q10 AK9:AK10 AF9:AF10 AF13 AK13 AK57:AK58 AF57:AF58 L85:L86 AK19 L19 G19 AF28:AF29 G28:G29 AK28:AK29 V28:V29 L28:L29 AF31:AF32 G31:G32 AK31:AK32 V31:V32 L31:L32 Q34:Q35 AF34:AF35 G34:G35 AK34:AK35 V34:V35 AF43:AF44 AK40:AK41 V40:V41 L40:L41 Q40:Q41 AF40:AF41 G43:G44 AK43:AK44 V43:V44 L43:L44 AF46:AF47 G46:G47 AK46:AK47 V46:V47 L46:L47 AF55 V52:V53 L52:L53 Q52:Q53 AF52:AF53 G52:G53 AK55 Q70:Q71 G15:G16 V15:V16 Q15:Q16 AK15:AK16 AF15:AF16 AK52:AK53 AF67:AF68 G67:G68 AK67:AK68 V67:V68 L67:L68 AF70:AF71 G70:G71 AK70:AK71 V70:V71 Q73:Q74 AF73:AF74 G73:G74 AK73:AK74 V73:V74 L76:L77 Q76:Q77 AF76:AF77 G76:G77 AK76:AK77 AF88 Q85:Q86 AF85:AF86 G85:G86 AK85:AK86 AK88 Q67:Q68 V85:V86 G91 V91 AK97 L97 L13 G13 V13 Q13 L57:L58 G57:G58 V57:V58 V19 AF22 AK22 L22 G22 V22 AK61 L61 G61 V61 AF100 G97 G94 V94 Q94 V97 Q97 AK100 L100 G100 V100 G106:G118 Q43:Q44 L70:L71 L49 AF106:AF118 L79 Q19 AF19 Q22 Q25 AF25 AK25 L25 G25 V25 Q28:Q29 G40:G41 Q61 AF61 Q64 AF64 AK64 L64 G64 V64 Q82 AF82 AK82 L82 G82 V82 Q91 AF91 AK91 L91 AF94 AK94 L94 AF97 Q100 Q103 AF103 AK103 L103 G103 V103 L88 G88 V88 Q88 G79 V79 Q79 AF79 AK79 V76:V77 L73:L74 L55 G55 V55 Q55 G49 V49 Q49 AF49 AK49 Q46:Q47 L37 G37 V37 Q37 AF37 AK37 L34:L35 Q31:Q32 L15:L16 AA8:AA118 AP8:AP118 AU8:AU118 Q57:Q58" xr:uid="{00000000-0002-0000-0900-000000000000}">
      <formula1>0</formula1>
      <formula2>4000000000</formula2>
    </dataValidation>
    <dataValidation type="decimal" allowBlank="1" showInputMessage="1" showErrorMessage="1" error="Value must be a positive number smaller than 9999999" sqref="G8 L8 Q8 V8 AF8 AK8 AF11:AF12 AK11:AK12 G11:G12 L11:L12 Q11:Q12 AF98:AF99 AK98:AK99 G98:G99 L98:L99 Q98:Q99 V98:V99 V11:V12 G56 L56 Q56 V56 AF56 AK56 AF80:AF81 AK80:AK81 G80:G81 L80:L81 Q80:Q81 V80:V81 AF17:AF18 AK17:AK18 G17:G18 L17:L18 Q17:Q18 V17:V18 AF20:AF21 AK20:AK21 G20:G21 L20:L21 Q20:Q21 V20:V21 AF101:AF102 AK101:AK102 G101:G102 L101:L102 Q101:Q102 V101:V102 AF33 AK33 G33 L33 Q33 V33 AF36 AK36 G36 L36 Q36 V36 AF23:AF24 AK23:AK24 G23:G24 L23:L24 Q23:Q24 V23:V24 AF42 AK42 G42 L42 Q42 V42 AF45 AK45 G45 L45 Q45 V45 AF48 AK48 G48 L48 Q48 V48 AF26:AF27 AK26:AK27 G26:G27 L26:L27 Q26:Q27 V26:V27 AF54 AK54 G54 L54 Q54 V54 G14 L14 Q14 V14 AF14 AK14 AF38:AF39 AK38:AK39 G38:G39 L38:L39 Q38:Q39 V38:V39 AF50:AF51 AK50:AK51 G50:G51 L50:L51 Q50:Q51 V50:V51 AF59:AF60 AK59:AK60 G59:G60 L59:L60 Q59:Q60 V59:V60 AF69 AK69 G69 L69 Q69 V69 AF72 AK72 G72 L72 Q72 V72 AF75 AK75 G75 L75 Q75 V75 AF78 AK78 G78 L78 Q78 V78 AF62:AF63 AK62:AK63 G62:G63 L62:L63 Q62:Q63 V62:V63 AF104:AF105 AK104:AK105 G104:G105 L104:L105 Q104:Q105 V104:V105 AF87 AK87 G87 L87 Q87 V87 AF65:AF66 AK65:AK66 G65:G66 L65:L66 Q65:Q66 V65:V66 AF83:AF84 AK83:AK84 G83:G84 L83:L84 Q83:Q84 V83:V84 AF89:AF90 AK89:AK90 G89:G90 L89:L90 Q89:Q90 V89:V90 AF92:AF93 AK92:AK93 G92:G93 L92:L93 Q92:Q93 V92:V93 AF95:AF96 AK95:AK96 G95:G96 L95:L96 Q95:Q96 V95:V96 AF30 AK30 G30 L30 Q30 V30" xr:uid="{00000000-0002-0000-0900-000001000000}">
      <formula1>0</formula1>
      <formula2>9999999</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31" r:id="rId4" name="Button 7">
              <controlPr defaultSize="0" print="0" autoFill="0" autoPict="0" macro="[0]!'PrefillSheet &quot;Table_1&quot;'" altText="Lock formulas">
                <anchor moveWithCells="1" sizeWithCells="1">
                  <from>
                    <xdr:col>3</xdr:col>
                    <xdr:colOff>838200</xdr:colOff>
                    <xdr:row>3</xdr:row>
                    <xdr:rowOff>50800</xdr:rowOff>
                  </from>
                  <to>
                    <xdr:col>5</xdr:col>
                    <xdr:colOff>552450</xdr:colOff>
                    <xdr:row>4</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900-000002000000}">
          <x14:formula1>
            <xm:f>'Footnotes list'!$D$9:$D$58</xm:f>
          </x14:formula1>
          <xm:sqref>J8 AN8 AI8 T8 O8 O54:O56 Y8 AD8 AS8 J54:J56 AD54:AD56 Y54:Y56 AN54:AN56 Y33:Y34 O33:O34 T54:T56 J33:J34 AD33:AD34 AI54:AI56 AS54:AS56 AN33:AN34 AN42:AN43 Y42:Y43 O42:O43 T33:T34 J42:J43 AD42:AD43 AI33:AI34 AD87:AD118 AN87:AN118 AI42:AI43 T42:T43 AI87:AI118 O87:O118 Y87:Y118 AD78:AD85 AS33:AS34 AS42:AS43 AN78:AN85 Y78:Y85 O78:O85 T87:T118 J87:J118 AD45:AD46 AI78:AI85 AI45:AI46 J78:J85 AN45:AN46 Y45:Y46 O45:O46 T78:T85 J45:J46 AD69:AD70 AI69:AI70 AS87:AS118 AS78:AS85 AN69:AN70 Y69:Y70 O69:O70 T45:T46 J69:J70 AD36:AD40 AI36:AI40 T69:T70 AI10:AI14 J36:J40 Y36:Y40 AS45:AS46 AN36:AN40 AS69:AS70 O36:O40 T36:T40 AS36:AS40 AN10:AN14 Y10:Y14 T10:T14 AD10:AD14 AI48:AI52 J10:J14 Y48:Y52 AS10:AS14 AN48:AN52 O10:O14 O48:O52 AD48:AD52 AI30:AI31 J48:J52 Y30:Y31 AS48:AS52 AN30:AN31 T48:T52 O30:O31 AS30:AS31 AS72:AS73 J30:J31 AN72:AN73 Y72:Y73 O72:O73 T30:T31 J72:J73 AD30:AD31 AI72:AI73 AS75:AS76 AN75:AN76 Y75:Y76 O75:O76 T72:T73 J75:J76 AD72:AD73 AI75:AI76 AS16:AS28 J16:J28 AI16:AI28 AD75:AD76 T75:T76 O16:O28 Y16:Y28 AN16:AN28 AD16:AD28 AN58:AN67 Y58:Y67 O58:O67 T16:T28 AD58:AD67 AI58:AI67 AS58:AS67 J58:J67 T58:T67 AX8 AX54:AX56 AX33:AX34 AX42:AX43 AX87:AX118 AX78:AX85 AX45:AX46 AX69:AX70 AX36:AX40 AX10:AX14 AX48:AX52 AX30:AX31 AX72:AX73 AX75:AX76 AX16:AX28 AX58:AX67</xm:sqref>
        </x14:dataValidation>
        <x14:dataValidation type="list" allowBlank="1" showInputMessage="1" showErrorMessage="1" xr:uid="{00000000-0002-0000-0900-000003000000}">
          <x14:formula1>
            <xm:f>Lists!$G$2:$G$3</xm:f>
          </x14:formula1>
          <xm:sqref>I8 AM8 AH8 S8 N8 N54:N56 X8 AC8 AR8 I54:I56 AC54:AC56 X54:X56 AM54:AM56 X33:X34 N33:N34 S54:S56 I33:I34 AC33:AC34 AH54:AH56 AR54:AR56 AM33:AM34 AM42:AM43 X42:X43 N42:N43 S33:S34 I42:I43 AC42:AC43 AH33:AH34 AC87:AC118 AM87:AM118 AH42:AH43 S42:S43 AH87:AH118 N87:N118 X87:X118 AC78:AC85 AR33:AR34 AR42:AR43 AM78:AM85 X78:X85 N78:N85 S87:S118 I87:I118 AC45:AC46 AH78:AH85 AH45:AH46 I78:I85 AM45:AM46 X45:X46 N45:N46 S78:S85 I45:I46 AC69:AC70 AH69:AH70 AR87:AR118 AR78:AR85 AM69:AM70 X69:X70 N69:N70 S45:S46 I69:I70 AC36:AC40 AH36:AH40 S69:S70 AH10:AH14 I36:I40 X36:X40 AR45:AR46 AM36:AM40 AR69:AR70 N36:N40 S36:S40 AR36:AR40 AM10:AM14 X10:X14 S10:S14 AC10:AC14 AH48:AH52 I10:I14 X48:X52 AR10:AR14 AM48:AM52 N10:N14 N48:N52 AC48:AC52 AH30:AH31 I48:I52 X30:X31 AR48:AR52 AM30:AM31 S48:S52 N30:N31 AR30:AR31 AR72:AR73 I30:I31 AM72:AM73 X72:X73 N72:N73 S30:S31 I72:I73 AC30:AC31 AH72:AH73 AR75:AR76 AM75:AM76 X75:X76 N75:N76 S72:S73 I75:I76 AC72:AC73 AH75:AH76 AR16:AR28 I16:I28 AH16:AH28 AC75:AC76 S75:S76 N16:N28 X16:X28 AM16:AM28 AC16:AC28 AM58:AM67 X58:X67 N58:N67 S16:S28 AC58:AC67 AH58:AH67 AR58:AR67 I58:I67 S58:S67 AW8 AW54:AW56 AW33:AW34 AW42:AW43 AW87:AW118 AW78:AW85 AW45:AW46 AW69:AW70 AW36:AW40 AW10:AW14 AW48:AW52 AW30:AW31 AW72:AW73 AW75:AW76 AW16:AW28 AW58:AW67</xm:sqref>
        </x14:dataValidation>
        <x14:dataValidation type="list" allowBlank="1" showInputMessage="1" showErrorMessage="1" xr:uid="{00000000-0002-0000-0900-000004000000}">
          <x14:formula1>
            <xm:f>Lists!$D$2:$D$8</xm:f>
          </x14:formula1>
          <xm:sqref>H8 AL8 AG8 R8 M8 M54:M56 W8 AB8 AQ8 H54:H56 AB54:AB56 W54:W56 AL54:AL56 W33:W34 M33:M34 R54:R56 H33:H34 AB33:AB34 AG54:AG56 AQ54:AQ56 AL33:AL34 AL42:AL43 W42:W43 M42:M43 R33:R34 H42:H43 AB42:AB43 AG33:AG34 AB87:AB118 AL87:AL118 AG42:AG43 R42:R43 AG87:AG118 M87:M118 W87:W118 AB78:AB85 AQ33:AQ34 AQ42:AQ43 AL78:AL85 W78:W85 M78:M85 R87:R118 H87:H118 AB45:AB46 AG78:AG85 AG45:AG46 H78:H85 AL45:AL46 W45:W46 M45:M46 R78:R85 H45:H46 AB69:AB70 AG69:AG70 AQ87:AQ118 AQ78:AQ85 AL69:AL70 W69:W70 M69:M70 R45:R46 H69:H70 AB36:AB40 AG36:AG40 R69:R70 AG10:AG14 H36:H40 W36:W40 AQ45:AQ46 AL36:AL40 AQ69:AQ70 M36:M40 R36:R40 AQ36:AQ40 AL10:AL14 W10:W14 R10:R14 AB10:AB14 AG48:AG52 H10:H14 W48:W52 AQ10:AQ14 AL48:AL52 M10:M14 M48:M52 AB48:AB52 AG30:AG31 H48:H52 W30:W31 AQ48:AQ52 AL30:AL31 R48:R52 M30:M31 AQ30:AQ31 AQ72:AQ73 H30:H31 AL72:AL73 W72:W73 M72:M73 R30:R31 H72:H73 AB30:AB31 AG72:AG73 AQ75:AQ76 AL75:AL76 W75:W76 M75:M76 R72:R73 H75:H76 AB72:AB73 AG75:AG76 AQ16:AQ28 H16:H28 AG16:AG28 AB75:AB76 R75:R76 M16:M28 W16:W28 AL16:AL28 AB16:AB28 AL58:AL67 W58:W67 M58:M67 R16:R28 AB58:AB67 AG58:AG67 AQ58:AQ67 H58:H67 R58:R67 AV8 AV54:AV56 AV33:AV34 AV42:AV43 AV87:AV118 AV78:AV85 AV45:AV46 AV69:AV70 AV36:AV40 AV10:AV14 AV48:AV52 AV30:AV31 AV72:AV73 AV75:AV76 AV16:AV28 AV58:AV67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0">
    <tabColor rgb="FFB381D9"/>
  </sheetPr>
  <dimension ref="A1:G5"/>
  <sheetViews>
    <sheetView workbookViewId="0">
      <selection activeCell="G9" sqref="G9"/>
    </sheetView>
  </sheetViews>
  <sheetFormatPr defaultColWidth="8.7265625" defaultRowHeight="14.5" x14ac:dyDescent="0.35"/>
  <cols>
    <col min="1" max="1" width="8.7265625" style="393"/>
    <col min="2" max="2" width="12" style="393" customWidth="1"/>
    <col min="3" max="3" width="8.7265625" style="393" customWidth="1"/>
    <col min="4" max="4" width="9.54296875" style="393" customWidth="1"/>
    <col min="5" max="5" width="9.453125" style="393" customWidth="1"/>
    <col min="6" max="6" width="10.1796875" style="393" bestFit="1" customWidth="1"/>
    <col min="7" max="7" width="19.26953125" style="473" customWidth="1"/>
    <col min="8" max="16384" width="8.7265625" style="393"/>
  </cols>
  <sheetData>
    <row r="1" spans="1:7" ht="78.75" customHeight="1" x14ac:dyDescent="0.35">
      <c r="A1" s="339" t="s">
        <v>304</v>
      </c>
      <c r="B1" s="339" t="s">
        <v>254</v>
      </c>
      <c r="C1" s="339" t="s">
        <v>295</v>
      </c>
      <c r="D1" s="339" t="s">
        <v>296</v>
      </c>
      <c r="E1" s="339" t="s">
        <v>297</v>
      </c>
      <c r="F1" s="339" t="s">
        <v>298</v>
      </c>
      <c r="G1" s="339" t="s">
        <v>607</v>
      </c>
    </row>
    <row r="2" spans="1:7" x14ac:dyDescent="0.35">
      <c r="A2" s="479" t="s">
        <v>305</v>
      </c>
      <c r="B2" s="479" t="s">
        <v>255</v>
      </c>
      <c r="C2" s="480" t="s">
        <v>608</v>
      </c>
      <c r="D2" s="482" t="s">
        <v>610</v>
      </c>
      <c r="E2" s="479">
        <v>1</v>
      </c>
      <c r="F2" s="479">
        <v>5</v>
      </c>
      <c r="G2" s="481" t="s">
        <v>609</v>
      </c>
    </row>
    <row r="3" spans="1:7" x14ac:dyDescent="0.35">
      <c r="A3" s="479" t="s">
        <v>305</v>
      </c>
      <c r="B3" s="479" t="s">
        <v>255</v>
      </c>
      <c r="C3" s="483" t="s">
        <v>611</v>
      </c>
      <c r="D3" s="482" t="s">
        <v>612</v>
      </c>
      <c r="E3" s="479">
        <v>1</v>
      </c>
      <c r="F3" s="479">
        <v>5</v>
      </c>
      <c r="G3" s="482" t="s">
        <v>613</v>
      </c>
    </row>
    <row r="4" spans="1:7" x14ac:dyDescent="0.35">
      <c r="A4" s="479"/>
      <c r="B4" s="479"/>
      <c r="C4" s="479"/>
      <c r="D4" s="479"/>
      <c r="E4" s="479"/>
      <c r="F4" s="479"/>
    </row>
    <row r="5" spans="1:7" x14ac:dyDescent="0.35">
      <c r="A5" s="479"/>
      <c r="B5" s="479"/>
      <c r="C5" s="479"/>
      <c r="D5" s="479"/>
      <c r="E5" s="479"/>
      <c r="F5" s="479"/>
    </row>
  </sheetData>
  <sheetProtection sheet="1" objects="1" scenarios="1" selectLockedCells="1" selectUnlockedCells="1"/>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rgb="FF7030A0"/>
  </sheetPr>
  <dimension ref="A1:M51"/>
  <sheetViews>
    <sheetView topLeftCell="I1" workbookViewId="0">
      <selection activeCell="M1" sqref="M1:M1048576"/>
    </sheetView>
  </sheetViews>
  <sheetFormatPr defaultRowHeight="14.5" x14ac:dyDescent="0.35"/>
  <cols>
    <col min="1" max="1" width="24.81640625" customWidth="1"/>
    <col min="2" max="2" width="12.7265625" style="24" bestFit="1" customWidth="1"/>
    <col min="3" max="4" width="7" customWidth="1"/>
    <col min="5" max="5" width="42.1796875" customWidth="1"/>
    <col min="6" max="6" width="5" customWidth="1"/>
    <col min="7" max="7" width="5.54296875" bestFit="1" customWidth="1"/>
    <col min="8" max="8" width="40.1796875" bestFit="1" customWidth="1"/>
    <col min="10" max="10" width="19.7265625" style="233" bestFit="1" customWidth="1"/>
    <col min="11" max="11" width="78.453125" style="370" customWidth="1"/>
    <col min="12" max="12" width="9.1796875" customWidth="1"/>
    <col min="13" max="13" width="9.1796875" hidden="1" customWidth="1"/>
  </cols>
  <sheetData>
    <row r="1" spans="1:13" ht="15.75" customHeight="1" thickBot="1" x14ac:dyDescent="0.4">
      <c r="A1" s="8" t="s">
        <v>212</v>
      </c>
      <c r="B1" s="9" t="s">
        <v>213</v>
      </c>
      <c r="C1" s="10"/>
      <c r="D1" s="11" t="s">
        <v>214</v>
      </c>
      <c r="E1" s="12" t="s">
        <v>215</v>
      </c>
      <c r="F1" s="13"/>
      <c r="G1" s="1" t="s">
        <v>2</v>
      </c>
      <c r="H1" s="2" t="s">
        <v>3</v>
      </c>
      <c r="J1" s="349" t="s">
        <v>553</v>
      </c>
      <c r="K1" s="350" t="s">
        <v>554</v>
      </c>
      <c r="M1" s="487" t="s">
        <v>624</v>
      </c>
    </row>
    <row r="2" spans="1:13" x14ac:dyDescent="0.35">
      <c r="A2" s="14" t="s">
        <v>11</v>
      </c>
      <c r="B2" s="15" t="s">
        <v>10</v>
      </c>
      <c r="C2" s="16"/>
      <c r="D2" s="17" t="s">
        <v>163</v>
      </c>
      <c r="E2" s="18" t="s">
        <v>169</v>
      </c>
      <c r="F2" s="7"/>
      <c r="G2" s="3" t="s">
        <v>108</v>
      </c>
      <c r="H2" s="4" t="s">
        <v>164</v>
      </c>
      <c r="J2" s="553" t="s">
        <v>555</v>
      </c>
      <c r="K2" s="554"/>
    </row>
    <row r="3" spans="1:13" ht="15" thickBot="1" x14ac:dyDescent="0.4">
      <c r="A3" s="14" t="s">
        <v>13</v>
      </c>
      <c r="B3" s="15" t="s">
        <v>12</v>
      </c>
      <c r="C3" s="19"/>
      <c r="D3" s="17" t="s">
        <v>0</v>
      </c>
      <c r="E3" s="18" t="s">
        <v>216</v>
      </c>
      <c r="F3" s="7"/>
      <c r="G3" s="5" t="s">
        <v>109</v>
      </c>
      <c r="H3" s="6" t="s">
        <v>168</v>
      </c>
      <c r="J3" s="351" t="s">
        <v>556</v>
      </c>
      <c r="K3" s="352" t="s">
        <v>170</v>
      </c>
    </row>
    <row r="4" spans="1:13" x14ac:dyDescent="0.35">
      <c r="A4" s="14" t="s">
        <v>217</v>
      </c>
      <c r="B4" s="15" t="s">
        <v>18</v>
      </c>
      <c r="C4" s="19"/>
      <c r="D4" s="17" t="s">
        <v>106</v>
      </c>
      <c r="E4" s="18" t="s">
        <v>107</v>
      </c>
      <c r="F4" s="7"/>
      <c r="J4" s="351" t="s">
        <v>557</v>
      </c>
      <c r="K4" s="352" t="s">
        <v>171</v>
      </c>
    </row>
    <row r="5" spans="1:13" ht="15" thickBot="1" x14ac:dyDescent="0.4">
      <c r="A5" s="14" t="s">
        <v>22</v>
      </c>
      <c r="B5" s="15" t="s">
        <v>21</v>
      </c>
      <c r="C5" s="19"/>
      <c r="D5" s="17" t="s">
        <v>10</v>
      </c>
      <c r="E5" s="18" t="s">
        <v>218</v>
      </c>
      <c r="F5" s="7"/>
      <c r="J5" s="353" t="s">
        <v>558</v>
      </c>
      <c r="K5" s="354" t="s">
        <v>172</v>
      </c>
    </row>
    <row r="6" spans="1:13" x14ac:dyDescent="0.35">
      <c r="A6" s="14" t="s">
        <v>20</v>
      </c>
      <c r="B6" s="15" t="s">
        <v>19</v>
      </c>
      <c r="C6" s="19"/>
      <c r="D6" s="17" t="s">
        <v>219</v>
      </c>
      <c r="E6" s="18" t="s">
        <v>220</v>
      </c>
      <c r="F6" s="7"/>
      <c r="J6" s="555" t="s">
        <v>559</v>
      </c>
      <c r="K6" s="556"/>
    </row>
    <row r="7" spans="1:13" x14ac:dyDescent="0.35">
      <c r="A7" s="14" t="s">
        <v>24</v>
      </c>
      <c r="B7" s="15" t="s">
        <v>23</v>
      </c>
      <c r="C7" s="19"/>
      <c r="D7" s="17" t="s">
        <v>221</v>
      </c>
      <c r="E7" s="18" t="s">
        <v>222</v>
      </c>
      <c r="F7" s="7"/>
      <c r="J7" s="355" t="s">
        <v>560</v>
      </c>
      <c r="K7" s="356" t="s">
        <v>576</v>
      </c>
    </row>
    <row r="8" spans="1:13" ht="15" thickBot="1" x14ac:dyDescent="0.4">
      <c r="A8" s="14" t="s">
        <v>38</v>
      </c>
      <c r="B8" s="15" t="s">
        <v>37</v>
      </c>
      <c r="C8" s="19"/>
      <c r="D8" s="20" t="s">
        <v>223</v>
      </c>
      <c r="E8" s="21" t="s">
        <v>224</v>
      </c>
      <c r="F8" s="7"/>
      <c r="J8" s="357" t="s">
        <v>591</v>
      </c>
      <c r="K8" s="358">
        <v>2026</v>
      </c>
    </row>
    <row r="9" spans="1:13" ht="15" thickBot="1" x14ac:dyDescent="0.4">
      <c r="A9" s="14" t="s">
        <v>26</v>
      </c>
      <c r="B9" s="15" t="s">
        <v>25</v>
      </c>
      <c r="C9" s="19"/>
      <c r="J9" s="359" t="s">
        <v>561</v>
      </c>
      <c r="K9" s="360" t="s">
        <v>622</v>
      </c>
    </row>
    <row r="10" spans="1:13" ht="15" thickBot="1" x14ac:dyDescent="0.4">
      <c r="A10" s="14" t="s">
        <v>28</v>
      </c>
      <c r="B10" s="15" t="s">
        <v>27</v>
      </c>
      <c r="C10" s="19"/>
      <c r="J10" s="357" t="s">
        <v>562</v>
      </c>
      <c r="K10" s="361" t="s">
        <v>623</v>
      </c>
    </row>
    <row r="11" spans="1:13" x14ac:dyDescent="0.35">
      <c r="A11" s="14" t="s">
        <v>32</v>
      </c>
      <c r="B11" s="15" t="s">
        <v>31</v>
      </c>
      <c r="C11" s="19"/>
      <c r="J11" s="557" t="s">
        <v>563</v>
      </c>
      <c r="K11" s="558"/>
    </row>
    <row r="12" spans="1:13" x14ac:dyDescent="0.35">
      <c r="A12" s="14" t="s">
        <v>34</v>
      </c>
      <c r="B12" s="15" t="s">
        <v>33</v>
      </c>
      <c r="C12" s="19"/>
      <c r="J12" s="362" t="s">
        <v>564</v>
      </c>
      <c r="K12" s="363" t="s">
        <v>565</v>
      </c>
    </row>
    <row r="13" spans="1:13" x14ac:dyDescent="0.35">
      <c r="A13" s="14" t="s">
        <v>42</v>
      </c>
      <c r="B13" s="15" t="s">
        <v>41</v>
      </c>
      <c r="C13" s="19"/>
      <c r="J13" s="362" t="s">
        <v>566</v>
      </c>
      <c r="K13" s="363" t="s">
        <v>578</v>
      </c>
    </row>
    <row r="14" spans="1:13" x14ac:dyDescent="0.35">
      <c r="A14" s="14" t="s">
        <v>17</v>
      </c>
      <c r="B14" s="15" t="s">
        <v>16</v>
      </c>
      <c r="C14" s="19"/>
      <c r="J14" s="364" t="s">
        <v>567</v>
      </c>
      <c r="K14" s="484" t="s">
        <v>427</v>
      </c>
    </row>
    <row r="15" spans="1:13" ht="15" thickBot="1" x14ac:dyDescent="0.4">
      <c r="A15" s="14" t="s">
        <v>50</v>
      </c>
      <c r="B15" s="15" t="s">
        <v>49</v>
      </c>
      <c r="C15" s="19"/>
      <c r="J15" s="365" t="s">
        <v>568</v>
      </c>
      <c r="K15" s="366" t="s">
        <v>569</v>
      </c>
    </row>
    <row r="16" spans="1:13" x14ac:dyDescent="0.35">
      <c r="A16" s="14" t="s">
        <v>46</v>
      </c>
      <c r="B16" s="15" t="s">
        <v>45</v>
      </c>
      <c r="C16" s="19"/>
      <c r="J16" s="559" t="s">
        <v>570</v>
      </c>
      <c r="K16" s="560"/>
    </row>
    <row r="17" spans="1:11" x14ac:dyDescent="0.35">
      <c r="A17" s="14" t="s">
        <v>48</v>
      </c>
      <c r="B17" s="15" t="s">
        <v>47</v>
      </c>
      <c r="C17" s="19"/>
      <c r="J17" s="367" t="s">
        <v>571</v>
      </c>
      <c r="K17" s="368" t="s">
        <v>572</v>
      </c>
    </row>
    <row r="18" spans="1:11" x14ac:dyDescent="0.35">
      <c r="A18" s="14" t="s">
        <v>36</v>
      </c>
      <c r="B18" s="15" t="s">
        <v>35</v>
      </c>
      <c r="C18" s="19"/>
      <c r="J18" s="367" t="s">
        <v>573</v>
      </c>
      <c r="K18" s="368" t="s">
        <v>204</v>
      </c>
    </row>
    <row r="19" spans="1:11" x14ac:dyDescent="0.35">
      <c r="A19" s="14" t="s">
        <v>55</v>
      </c>
      <c r="B19" s="15" t="s">
        <v>54</v>
      </c>
      <c r="C19" s="19"/>
      <c r="J19" s="367" t="s">
        <v>574</v>
      </c>
      <c r="K19" s="485" t="s">
        <v>200</v>
      </c>
    </row>
    <row r="20" spans="1:11" ht="15" thickBot="1" x14ac:dyDescent="0.4">
      <c r="A20" s="14" t="s">
        <v>225</v>
      </c>
      <c r="B20" s="15" t="s">
        <v>56</v>
      </c>
      <c r="C20" s="19"/>
      <c r="J20" s="369" t="s">
        <v>575</v>
      </c>
      <c r="K20" s="486" t="s">
        <v>210</v>
      </c>
    </row>
    <row r="21" spans="1:11" x14ac:dyDescent="0.35">
      <c r="A21" s="14" t="s">
        <v>7</v>
      </c>
      <c r="B21" s="15" t="s">
        <v>6</v>
      </c>
      <c r="C21" s="19"/>
    </row>
    <row r="22" spans="1:11" x14ac:dyDescent="0.35">
      <c r="A22" s="14" t="s">
        <v>60</v>
      </c>
      <c r="B22" s="15" t="s">
        <v>59</v>
      </c>
      <c r="C22" s="19"/>
    </row>
    <row r="23" spans="1:11" x14ac:dyDescent="0.35">
      <c r="A23" s="14" t="s">
        <v>62</v>
      </c>
      <c r="B23" s="15" t="s">
        <v>61</v>
      </c>
      <c r="C23" s="19"/>
    </row>
    <row r="24" spans="1:11" x14ac:dyDescent="0.35">
      <c r="A24" s="14" t="s">
        <v>64</v>
      </c>
      <c r="B24" s="15" t="s">
        <v>63</v>
      </c>
      <c r="C24" s="19"/>
    </row>
    <row r="25" spans="1:11" x14ac:dyDescent="0.35">
      <c r="A25" s="14" t="s">
        <v>70</v>
      </c>
      <c r="B25" s="15" t="s">
        <v>69</v>
      </c>
      <c r="C25" s="19"/>
    </row>
    <row r="26" spans="1:11" x14ac:dyDescent="0.35">
      <c r="A26" s="14" t="s">
        <v>72</v>
      </c>
      <c r="B26" s="15" t="s">
        <v>71</v>
      </c>
      <c r="C26" s="19"/>
    </row>
    <row r="27" spans="1:11" x14ac:dyDescent="0.35">
      <c r="A27" s="14" t="s">
        <v>30</v>
      </c>
      <c r="B27" s="15" t="s">
        <v>29</v>
      </c>
      <c r="C27" s="19"/>
    </row>
    <row r="28" spans="1:11" x14ac:dyDescent="0.35">
      <c r="A28" s="14" t="s">
        <v>68</v>
      </c>
      <c r="B28" s="15" t="s">
        <v>67</v>
      </c>
      <c r="C28" s="19"/>
    </row>
    <row r="29" spans="1:11" x14ac:dyDescent="0.35">
      <c r="A29" s="14" t="s">
        <v>76</v>
      </c>
      <c r="B29" s="15" t="s">
        <v>75</v>
      </c>
      <c r="C29" s="19"/>
    </row>
    <row r="30" spans="1:11" x14ac:dyDescent="0.35">
      <c r="A30" s="14" t="s">
        <v>40</v>
      </c>
      <c r="B30" s="15" t="s">
        <v>39</v>
      </c>
      <c r="C30" s="19"/>
    </row>
    <row r="31" spans="1:11" x14ac:dyDescent="0.35">
      <c r="A31" s="14" t="s">
        <v>44</v>
      </c>
      <c r="B31" s="15" t="s">
        <v>43</v>
      </c>
      <c r="C31" s="19"/>
    </row>
    <row r="32" spans="1:11" x14ac:dyDescent="0.35">
      <c r="A32" s="14" t="s">
        <v>58</v>
      </c>
      <c r="B32" s="15" t="s">
        <v>57</v>
      </c>
      <c r="C32" s="19"/>
    </row>
    <row r="33" spans="1:3" x14ac:dyDescent="0.35">
      <c r="A33" s="14" t="s">
        <v>15</v>
      </c>
      <c r="B33" s="15" t="s">
        <v>14</v>
      </c>
      <c r="C33" s="19"/>
    </row>
    <row r="34" spans="1:3" x14ac:dyDescent="0.35">
      <c r="A34" s="14" t="s">
        <v>52</v>
      </c>
      <c r="B34" s="15" t="s">
        <v>51</v>
      </c>
      <c r="C34" s="19"/>
    </row>
    <row r="35" spans="1:3" x14ac:dyDescent="0.35">
      <c r="A35" s="14" t="s">
        <v>226</v>
      </c>
      <c r="B35" s="15" t="s">
        <v>53</v>
      </c>
      <c r="C35" s="19"/>
    </row>
    <row r="36" spans="1:3" x14ac:dyDescent="0.35">
      <c r="A36" s="14" t="s">
        <v>5</v>
      </c>
      <c r="B36" s="15" t="s">
        <v>4</v>
      </c>
      <c r="C36" s="19"/>
    </row>
    <row r="37" spans="1:3" x14ac:dyDescent="0.35">
      <c r="A37" s="14" t="s">
        <v>66</v>
      </c>
      <c r="B37" s="15" t="s">
        <v>65</v>
      </c>
      <c r="C37" s="19"/>
    </row>
    <row r="38" spans="1:3" x14ac:dyDescent="0.35">
      <c r="A38" s="14" t="s">
        <v>74</v>
      </c>
      <c r="B38" s="15" t="s">
        <v>73</v>
      </c>
      <c r="C38" s="19"/>
    </row>
    <row r="39" spans="1:3" x14ac:dyDescent="0.35">
      <c r="A39" s="14" t="s">
        <v>9</v>
      </c>
      <c r="B39" s="15" t="s">
        <v>8</v>
      </c>
      <c r="C39" s="19"/>
    </row>
    <row r="40" spans="1:3" x14ac:dyDescent="0.35">
      <c r="A40" s="14" t="s">
        <v>227</v>
      </c>
      <c r="B40" s="15" t="s">
        <v>77</v>
      </c>
      <c r="C40" s="19"/>
    </row>
    <row r="41" spans="1:3" x14ac:dyDescent="0.35">
      <c r="A41" s="488" t="s">
        <v>615</v>
      </c>
      <c r="B41" s="489" t="s">
        <v>616</v>
      </c>
      <c r="C41" s="19"/>
    </row>
    <row r="42" spans="1:3" x14ac:dyDescent="0.35">
      <c r="A42" s="488" t="s">
        <v>617</v>
      </c>
      <c r="B42" s="489" t="s">
        <v>618</v>
      </c>
      <c r="C42" s="19"/>
    </row>
    <row r="43" spans="1:3" ht="15" thickBot="1" x14ac:dyDescent="0.4">
      <c r="A43" s="22" t="s">
        <v>619</v>
      </c>
      <c r="B43" s="23" t="s">
        <v>620</v>
      </c>
      <c r="C43" s="19"/>
    </row>
    <row r="45" spans="1:3" ht="15" customHeight="1" x14ac:dyDescent="0.35">
      <c r="B45"/>
    </row>
    <row r="49" spans="10:11" x14ac:dyDescent="0.35">
      <c r="J49" s="318"/>
      <c r="K49" s="371"/>
    </row>
    <row r="50" spans="10:11" x14ac:dyDescent="0.35">
      <c r="J50" s="318"/>
      <c r="K50" s="371"/>
    </row>
    <row r="51" spans="10:11" x14ac:dyDescent="0.35">
      <c r="J51" s="318"/>
      <c r="K51" s="371"/>
    </row>
  </sheetData>
  <sheetProtection algorithmName="SHA-512" hashValue="fCUIEFCigdxkjplZePWcdEWwHuH0UnWruUGQUPsTVBvKTeWddaZhTJF7sQ3c5E+gaKN96Qh0t9V5rvJFocz9+Q==" saltValue="iJIpclIq0rBn332mLyNgRQ==" spinCount="100000" sheet="1" objects="1" scenarios="1"/>
  <mergeCells count="4">
    <mergeCell ref="J2:K2"/>
    <mergeCell ref="J6:K6"/>
    <mergeCell ref="J11:K11"/>
    <mergeCell ref="J16:K16"/>
  </mergeCells>
  <hyperlinks>
    <hyperlink ref="K14" r:id="rId1" xr:uid="{00000000-0004-0000-0B00-000000000000}"/>
    <hyperlink ref="K19" r:id="rId2" xr:uid="{00000000-0004-0000-0B00-000001000000}"/>
    <hyperlink ref="K20" r:id="rId3" xr:uid="{00000000-0004-0000-0B00-000002000000}"/>
  </hyperlinks>
  <pageMargins left="0.7" right="0.7" top="0.75" bottom="0.75" header="0.3" footer="0.3"/>
  <pageSetup paperSize="9" orientation="portrait" verticalDpi="0"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9">
    <tabColor rgb="FF7030A0"/>
  </sheetPr>
  <dimension ref="A1:G8"/>
  <sheetViews>
    <sheetView zoomScaleNormal="100" workbookViewId="0">
      <selection activeCell="AA5" sqref="AA5:AE5"/>
    </sheetView>
  </sheetViews>
  <sheetFormatPr defaultColWidth="9.1796875" defaultRowHeight="12.5" x14ac:dyDescent="0.25"/>
  <cols>
    <col min="1" max="1" width="11.54296875" style="331" customWidth="1"/>
    <col min="2" max="2" width="22.26953125" style="318" customWidth="1"/>
    <col min="3" max="3" width="12.1796875" style="318" customWidth="1"/>
    <col min="4" max="4" width="89.1796875" style="318" customWidth="1"/>
    <col min="5" max="5" width="9.1796875" style="331"/>
    <col min="6" max="6" width="12" style="331" customWidth="1"/>
    <col min="7" max="7" width="95.7265625" style="318" customWidth="1"/>
    <col min="8" max="16384" width="9.1796875" style="318"/>
  </cols>
  <sheetData>
    <row r="1" spans="1:7" ht="13.5" thickBot="1" x14ac:dyDescent="0.35">
      <c r="A1" s="315" t="s">
        <v>521</v>
      </c>
      <c r="B1" s="316" t="s">
        <v>254</v>
      </c>
      <c r="C1" s="317" t="s">
        <v>522</v>
      </c>
      <c r="D1" s="317" t="s">
        <v>523</v>
      </c>
      <c r="E1" s="315" t="s">
        <v>524</v>
      </c>
      <c r="F1" s="315" t="s">
        <v>525</v>
      </c>
      <c r="G1" s="315" t="s">
        <v>526</v>
      </c>
    </row>
    <row r="2" spans="1:7" x14ac:dyDescent="0.25">
      <c r="A2" s="319" t="s">
        <v>414</v>
      </c>
      <c r="B2" s="320" t="s">
        <v>527</v>
      </c>
      <c r="C2" s="320"/>
      <c r="D2" s="320" t="s">
        <v>588</v>
      </c>
      <c r="E2" s="321" t="s">
        <v>550</v>
      </c>
      <c r="F2" s="322" t="s">
        <v>528</v>
      </c>
    </row>
    <row r="3" spans="1:7" x14ac:dyDescent="0.25">
      <c r="A3" s="323"/>
      <c r="B3" s="324"/>
      <c r="C3" s="324"/>
      <c r="D3" s="324" t="s">
        <v>529</v>
      </c>
      <c r="E3" s="325"/>
      <c r="F3" s="326"/>
    </row>
    <row r="4" spans="1:7" x14ac:dyDescent="0.25">
      <c r="A4" s="323"/>
      <c r="B4" s="324"/>
      <c r="C4" s="324"/>
      <c r="D4" s="324" t="s">
        <v>551</v>
      </c>
      <c r="E4" s="325"/>
      <c r="F4" s="326"/>
    </row>
    <row r="5" spans="1:7" x14ac:dyDescent="0.25">
      <c r="A5" s="323"/>
      <c r="B5" s="324" t="s">
        <v>530</v>
      </c>
      <c r="C5" s="324"/>
      <c r="D5" s="324" t="s">
        <v>531</v>
      </c>
      <c r="E5" s="325"/>
      <c r="F5" s="326"/>
    </row>
    <row r="6" spans="1:7" x14ac:dyDescent="0.25">
      <c r="A6" s="323"/>
      <c r="B6" s="324" t="s">
        <v>532</v>
      </c>
      <c r="C6" s="324"/>
      <c r="D6" s="324" t="s">
        <v>533</v>
      </c>
      <c r="E6" s="325"/>
      <c r="F6" s="326"/>
    </row>
    <row r="7" spans="1:7" ht="13" thickBot="1" x14ac:dyDescent="0.3">
      <c r="A7" s="327"/>
      <c r="B7" s="328" t="s">
        <v>534</v>
      </c>
      <c r="C7" s="328"/>
      <c r="D7" s="328" t="s">
        <v>535</v>
      </c>
      <c r="E7" s="329"/>
      <c r="F7" s="330"/>
    </row>
    <row r="8" spans="1:7" ht="21" customHeight="1" thickBot="1" x14ac:dyDescent="0.3">
      <c r="A8" s="344" t="s">
        <v>414</v>
      </c>
      <c r="B8" s="345" t="s">
        <v>520</v>
      </c>
      <c r="C8" s="345"/>
      <c r="D8" s="345" t="s">
        <v>552</v>
      </c>
      <c r="E8" s="346"/>
      <c r="F8" s="347"/>
    </row>
  </sheetData>
  <sheetProtection algorithmName="SHA-512" hashValue="Jsl+JfHdigWlIP3YbGIJVyDdoJz9lwT1vfaKGAq0cxqZdiNHt+JqyS/FD3dwXidmnJ3K22/NKxrmmIMJ9HGwFQ==" saltValue="SQXJoWXblxiEtb00fhElJg==" spinCount="100000" sheet="1" objects="1" scenarios="1" selectLockedCells="1" selectUnlockedCells="1"/>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3">
    <tabColor rgb="FF7030A0"/>
  </sheetPr>
  <dimension ref="A1:K3"/>
  <sheetViews>
    <sheetView workbookViewId="0">
      <selection activeCell="AA5" sqref="AA5:AE5"/>
    </sheetView>
  </sheetViews>
  <sheetFormatPr defaultRowHeight="14.5" x14ac:dyDescent="0.35"/>
  <cols>
    <col min="1" max="1" width="29.453125" customWidth="1"/>
    <col min="2" max="2" width="16.453125" customWidth="1"/>
    <col min="3" max="3" width="10" customWidth="1"/>
    <col min="4" max="4" width="13.54296875" customWidth="1"/>
    <col min="5" max="5" width="7.81640625" customWidth="1"/>
    <col min="6" max="6" width="9.26953125" customWidth="1"/>
    <col min="7" max="7" width="15.7265625" customWidth="1"/>
    <col min="8" max="8" width="10.81640625" customWidth="1"/>
    <col min="10" max="10" width="9.1796875" style="478"/>
    <col min="11" max="11" width="53.81640625" customWidth="1"/>
  </cols>
  <sheetData>
    <row r="1" spans="1:11" ht="81" customHeight="1" x14ac:dyDescent="0.35">
      <c r="A1" s="309" t="s">
        <v>515</v>
      </c>
      <c r="B1" s="310" t="s">
        <v>516</v>
      </c>
      <c r="C1" s="311" t="s">
        <v>295</v>
      </c>
      <c r="D1" s="312" t="s">
        <v>296</v>
      </c>
      <c r="E1" s="312" t="s">
        <v>297</v>
      </c>
      <c r="F1" s="313" t="s">
        <v>298</v>
      </c>
      <c r="G1" s="314" t="s">
        <v>517</v>
      </c>
      <c r="H1" s="314" t="s">
        <v>518</v>
      </c>
      <c r="I1" s="314" t="s">
        <v>519</v>
      </c>
      <c r="J1" s="475" t="s">
        <v>599</v>
      </c>
    </row>
    <row r="2" spans="1:11" ht="15" thickBot="1" x14ac:dyDescent="0.4">
      <c r="A2" s="450" t="s">
        <v>520</v>
      </c>
      <c r="B2" s="451" t="s">
        <v>255</v>
      </c>
      <c r="C2" s="452" t="s">
        <v>260</v>
      </c>
      <c r="D2" s="453" t="s">
        <v>592</v>
      </c>
      <c r="E2" s="453">
        <v>1</v>
      </c>
      <c r="F2" s="454">
        <v>5</v>
      </c>
      <c r="G2" s="455" t="s">
        <v>261</v>
      </c>
      <c r="H2" s="455" t="s">
        <v>57</v>
      </c>
      <c r="I2" s="455" t="s">
        <v>57</v>
      </c>
      <c r="J2" s="476" t="s">
        <v>261</v>
      </c>
      <c r="K2" s="456" t="s">
        <v>594</v>
      </c>
    </row>
    <row r="3" spans="1:11" ht="15" thickBot="1" x14ac:dyDescent="0.4">
      <c r="A3" s="457" t="s">
        <v>520</v>
      </c>
      <c r="B3" s="458" t="s">
        <v>255</v>
      </c>
      <c r="C3" s="459" t="s">
        <v>318</v>
      </c>
      <c r="D3" s="460" t="s">
        <v>593</v>
      </c>
      <c r="E3" s="460">
        <v>1</v>
      </c>
      <c r="F3" s="461">
        <v>5</v>
      </c>
      <c r="G3" s="462" t="s">
        <v>261</v>
      </c>
      <c r="H3" s="462" t="s">
        <v>57</v>
      </c>
      <c r="I3" s="462" t="s">
        <v>57</v>
      </c>
      <c r="J3" s="477" t="s">
        <v>261</v>
      </c>
      <c r="K3" s="449" t="s">
        <v>595</v>
      </c>
    </row>
  </sheetData>
  <sheetProtection algorithmName="SHA-512" hashValue="0djHgnAdjYpMlb4m8MwnxbHDHGVtvOzKFUPB9iq/9Ud1Nw3zA8Zu21ZVSE1AsH0zHiTY3RqmkLEoitzDO0yKgw==" saltValue="jL7075kNDx2hGXqZj4SMHg==" spinCount="100000" sheet="1" objects="1" scenarios="1"/>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4">
    <tabColor rgb="FF7030A0"/>
  </sheetPr>
  <dimension ref="A1:G15"/>
  <sheetViews>
    <sheetView workbookViewId="0">
      <selection sqref="A1:C1"/>
    </sheetView>
  </sheetViews>
  <sheetFormatPr defaultColWidth="9.1796875" defaultRowHeight="12.5" x14ac:dyDescent="0.25"/>
  <cols>
    <col min="1" max="1" width="19" style="332" customWidth="1"/>
    <col min="2" max="2" width="18.54296875" style="332" customWidth="1"/>
    <col min="3" max="3" width="44" style="332" customWidth="1"/>
    <col min="4" max="4" width="15.54296875" style="332" customWidth="1"/>
    <col min="5" max="5" width="25.7265625" style="332" customWidth="1"/>
    <col min="6" max="6" width="17.81640625" style="337" customWidth="1"/>
    <col min="7" max="7" width="24" style="332" customWidth="1"/>
    <col min="8" max="16384" width="9.1796875" style="332"/>
  </cols>
  <sheetData>
    <row r="1" spans="1:7" ht="31.5" customHeight="1" thickBot="1" x14ac:dyDescent="0.3">
      <c r="A1" s="561" t="s">
        <v>536</v>
      </c>
      <c r="B1" s="561"/>
      <c r="C1" s="561"/>
      <c r="E1" s="562" t="s">
        <v>537</v>
      </c>
      <c r="F1" s="562"/>
      <c r="G1" s="562"/>
    </row>
    <row r="2" spans="1:7" s="335" customFormat="1" ht="23.25" customHeight="1" x14ac:dyDescent="0.35">
      <c r="A2" s="333" t="s">
        <v>538</v>
      </c>
      <c r="B2" s="333" t="s">
        <v>539</v>
      </c>
      <c r="C2" s="334" t="s">
        <v>540</v>
      </c>
      <c r="E2" s="333" t="s">
        <v>538</v>
      </c>
      <c r="F2" s="333" t="s">
        <v>539</v>
      </c>
      <c r="G2" s="334" t="s">
        <v>540</v>
      </c>
    </row>
    <row r="3" spans="1:7" ht="48.75" customHeight="1" x14ac:dyDescent="0.25">
      <c r="A3" s="336" t="s">
        <v>600</v>
      </c>
      <c r="B3" s="336" t="b">
        <v>0</v>
      </c>
      <c r="C3" s="404" t="s">
        <v>589</v>
      </c>
      <c r="F3" s="332"/>
    </row>
    <row r="4" spans="1:7" x14ac:dyDescent="0.25">
      <c r="F4" s="332"/>
    </row>
    <row r="5" spans="1:7" x14ac:dyDescent="0.25">
      <c r="F5" s="332"/>
    </row>
    <row r="6" spans="1:7" x14ac:dyDescent="0.25">
      <c r="F6" s="332"/>
    </row>
    <row r="7" spans="1:7" x14ac:dyDescent="0.25">
      <c r="F7" s="332"/>
    </row>
    <row r="8" spans="1:7" x14ac:dyDescent="0.25">
      <c r="F8" s="332"/>
    </row>
    <row r="9" spans="1:7" x14ac:dyDescent="0.25">
      <c r="F9" s="332"/>
    </row>
    <row r="10" spans="1:7" x14ac:dyDescent="0.25">
      <c r="F10" s="332"/>
    </row>
    <row r="11" spans="1:7" x14ac:dyDescent="0.25">
      <c r="F11" s="332"/>
    </row>
    <row r="12" spans="1:7" x14ac:dyDescent="0.25">
      <c r="F12" s="332"/>
    </row>
    <row r="13" spans="1:7" x14ac:dyDescent="0.25">
      <c r="F13" s="332"/>
    </row>
    <row r="14" spans="1:7" x14ac:dyDescent="0.25">
      <c r="F14" s="332"/>
    </row>
    <row r="15" spans="1:7" x14ac:dyDescent="0.25">
      <c r="F15" s="332"/>
    </row>
  </sheetData>
  <sheetProtection algorithmName="SHA-512" hashValue="jQIOa3co70lB0eDH/yE1YjnhZVUJLQNPnJTBP/I06SafuJAtKAnrWCXU3VmQeFsjYDf4T56GWw9HdonHSVtXAQ==" saltValue="SQPtQBd/wbgOUdkJZQNuew==" spinCount="100000" sheet="1" objects="1" scenarios="1" selectLockedCells="1" selectUnlockedCells="1"/>
  <mergeCells count="2">
    <mergeCell ref="A1:C1"/>
    <mergeCell ref="E1:G1"/>
  </mergeCells>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rgb="FFB381D9"/>
  </sheetPr>
  <dimension ref="A1:H36"/>
  <sheetViews>
    <sheetView workbookViewId="0">
      <selection activeCell="AA5" sqref="AA5:AE5"/>
    </sheetView>
  </sheetViews>
  <sheetFormatPr defaultRowHeight="14.5" x14ac:dyDescent="0.35"/>
  <cols>
    <col min="1" max="1" width="11.1796875" customWidth="1"/>
    <col min="8" max="8" width="82.81640625" customWidth="1"/>
  </cols>
  <sheetData>
    <row r="1" spans="1:8" ht="39" customHeight="1" x14ac:dyDescent="0.35">
      <c r="A1" s="87" t="s">
        <v>254</v>
      </c>
      <c r="B1" s="87" t="s">
        <v>295</v>
      </c>
      <c r="C1" s="87" t="s">
        <v>296</v>
      </c>
      <c r="D1" s="87" t="s">
        <v>297</v>
      </c>
      <c r="E1" s="87" t="s">
        <v>298</v>
      </c>
      <c r="F1" s="87" t="s">
        <v>299</v>
      </c>
      <c r="G1" s="87" t="s">
        <v>300</v>
      </c>
      <c r="H1" s="88" t="s">
        <v>301</v>
      </c>
    </row>
    <row r="2" spans="1:8" x14ac:dyDescent="0.35">
      <c r="A2" s="89" t="s">
        <v>255</v>
      </c>
      <c r="B2" s="90" t="s">
        <v>302</v>
      </c>
      <c r="C2" s="90" t="s">
        <v>343</v>
      </c>
      <c r="D2" s="90">
        <v>3</v>
      </c>
      <c r="E2" s="90">
        <v>5</v>
      </c>
      <c r="F2" s="90" t="s">
        <v>303</v>
      </c>
      <c r="G2" s="90" t="s">
        <v>260</v>
      </c>
      <c r="H2" s="91" t="s">
        <v>344</v>
      </c>
    </row>
    <row r="3" spans="1:8" x14ac:dyDescent="0.35">
      <c r="A3" s="89" t="s">
        <v>255</v>
      </c>
      <c r="B3" s="90" t="s">
        <v>346</v>
      </c>
      <c r="C3" s="90" t="s">
        <v>347</v>
      </c>
      <c r="D3" s="90">
        <v>3</v>
      </c>
      <c r="E3" s="90">
        <v>5</v>
      </c>
      <c r="F3" s="90" t="s">
        <v>303</v>
      </c>
      <c r="G3" s="90" t="s">
        <v>260</v>
      </c>
      <c r="H3" s="91" t="s">
        <v>345</v>
      </c>
    </row>
    <row r="4" spans="1:8" x14ac:dyDescent="0.35">
      <c r="A4" s="122" t="s">
        <v>255</v>
      </c>
      <c r="B4" s="123" t="s">
        <v>318</v>
      </c>
      <c r="C4" s="123" t="s">
        <v>349</v>
      </c>
      <c r="D4" s="123">
        <v>1</v>
      </c>
      <c r="E4" s="123">
        <v>5</v>
      </c>
      <c r="F4" s="123" t="s">
        <v>303</v>
      </c>
      <c r="G4" s="123" t="s">
        <v>260</v>
      </c>
      <c r="H4" s="124" t="s">
        <v>348</v>
      </c>
    </row>
    <row r="5" spans="1:8" x14ac:dyDescent="0.35">
      <c r="A5" s="89" t="s">
        <v>255</v>
      </c>
      <c r="B5" s="90" t="s">
        <v>350</v>
      </c>
      <c r="C5" s="90" t="s">
        <v>350</v>
      </c>
      <c r="D5" s="90">
        <v>999</v>
      </c>
      <c r="E5" s="90">
        <v>999</v>
      </c>
      <c r="F5" s="90" t="s">
        <v>303</v>
      </c>
      <c r="G5" s="90" t="s">
        <v>260</v>
      </c>
      <c r="H5" s="91" t="s">
        <v>280</v>
      </c>
    </row>
    <row r="6" spans="1:8" x14ac:dyDescent="0.35">
      <c r="A6" s="89" t="s">
        <v>255</v>
      </c>
      <c r="B6" s="90" t="s">
        <v>351</v>
      </c>
      <c r="C6" s="90" t="s">
        <v>352</v>
      </c>
      <c r="D6" s="90">
        <v>1</v>
      </c>
      <c r="E6" s="90">
        <v>999</v>
      </c>
      <c r="F6" s="90" t="s">
        <v>303</v>
      </c>
      <c r="G6" s="90" t="s">
        <v>260</v>
      </c>
      <c r="H6" s="91" t="s">
        <v>280</v>
      </c>
    </row>
    <row r="7" spans="1:8" x14ac:dyDescent="0.35">
      <c r="A7" s="89" t="s">
        <v>255</v>
      </c>
      <c r="B7" s="90" t="s">
        <v>410</v>
      </c>
      <c r="C7" s="90" t="s">
        <v>411</v>
      </c>
      <c r="D7" s="90">
        <v>1</v>
      </c>
      <c r="E7" s="90">
        <v>999</v>
      </c>
      <c r="F7" s="90" t="s">
        <v>303</v>
      </c>
      <c r="G7" s="90" t="s">
        <v>260</v>
      </c>
      <c r="H7" s="91" t="s">
        <v>280</v>
      </c>
    </row>
    <row r="8" spans="1:8" x14ac:dyDescent="0.35">
      <c r="A8" s="89" t="s">
        <v>255</v>
      </c>
      <c r="B8" s="90" t="s">
        <v>353</v>
      </c>
      <c r="C8" s="90" t="s">
        <v>354</v>
      </c>
      <c r="D8" s="90">
        <v>1</v>
      </c>
      <c r="E8" s="90">
        <v>999</v>
      </c>
      <c r="F8" s="90" t="s">
        <v>303</v>
      </c>
      <c r="G8" s="90" t="s">
        <v>260</v>
      </c>
      <c r="H8" s="91" t="s">
        <v>280</v>
      </c>
    </row>
    <row r="9" spans="1:8" x14ac:dyDescent="0.35">
      <c r="A9" s="89" t="s">
        <v>255</v>
      </c>
      <c r="B9" s="90" t="s">
        <v>355</v>
      </c>
      <c r="C9" s="90" t="s">
        <v>356</v>
      </c>
      <c r="D9" s="90">
        <v>1</v>
      </c>
      <c r="E9" s="90">
        <v>999</v>
      </c>
      <c r="F9" s="90" t="s">
        <v>303</v>
      </c>
      <c r="G9" s="90" t="s">
        <v>260</v>
      </c>
      <c r="H9" s="91" t="s">
        <v>280</v>
      </c>
    </row>
    <row r="10" spans="1:8" x14ac:dyDescent="0.35">
      <c r="A10" s="89" t="s">
        <v>255</v>
      </c>
      <c r="B10" s="90" t="s">
        <v>357</v>
      </c>
      <c r="C10" s="90" t="s">
        <v>358</v>
      </c>
      <c r="D10" s="90">
        <v>1</v>
      </c>
      <c r="E10" s="90">
        <v>999</v>
      </c>
      <c r="F10" s="90" t="s">
        <v>303</v>
      </c>
      <c r="G10" s="90" t="s">
        <v>260</v>
      </c>
      <c r="H10" s="91" t="s">
        <v>280</v>
      </c>
    </row>
    <row r="11" spans="1:8" x14ac:dyDescent="0.35">
      <c r="A11" s="89" t="s">
        <v>255</v>
      </c>
      <c r="B11" s="90" t="s">
        <v>359</v>
      </c>
      <c r="C11" s="90" t="s">
        <v>360</v>
      </c>
      <c r="D11" s="90">
        <v>1</v>
      </c>
      <c r="E11" s="90">
        <v>999</v>
      </c>
      <c r="F11" s="90" t="s">
        <v>303</v>
      </c>
      <c r="G11" s="90" t="s">
        <v>260</v>
      </c>
      <c r="H11" s="91" t="s">
        <v>280</v>
      </c>
    </row>
    <row r="12" spans="1:8" x14ac:dyDescent="0.35">
      <c r="A12" s="89" t="s">
        <v>255</v>
      </c>
      <c r="B12" s="90" t="s">
        <v>361</v>
      </c>
      <c r="C12" s="90" t="s">
        <v>362</v>
      </c>
      <c r="D12" s="90">
        <v>1</v>
      </c>
      <c r="E12" s="90">
        <v>999</v>
      </c>
      <c r="F12" s="90" t="s">
        <v>303</v>
      </c>
      <c r="G12" s="90" t="s">
        <v>260</v>
      </c>
      <c r="H12" s="91" t="s">
        <v>280</v>
      </c>
    </row>
    <row r="13" spans="1:8" x14ac:dyDescent="0.35">
      <c r="A13" s="89" t="s">
        <v>255</v>
      </c>
      <c r="B13" s="90" t="s">
        <v>363</v>
      </c>
      <c r="C13" s="90" t="s">
        <v>364</v>
      </c>
      <c r="D13" s="90">
        <v>1</v>
      </c>
      <c r="E13" s="90">
        <v>999</v>
      </c>
      <c r="F13" s="90" t="s">
        <v>303</v>
      </c>
      <c r="G13" s="90" t="s">
        <v>260</v>
      </c>
      <c r="H13" s="91" t="s">
        <v>280</v>
      </c>
    </row>
    <row r="14" spans="1:8" x14ac:dyDescent="0.35">
      <c r="A14" s="89" t="s">
        <v>255</v>
      </c>
      <c r="B14" s="90" t="s">
        <v>365</v>
      </c>
      <c r="C14" s="90" t="s">
        <v>366</v>
      </c>
      <c r="D14" s="90">
        <v>1</v>
      </c>
      <c r="E14" s="90">
        <v>999</v>
      </c>
      <c r="F14" s="90" t="s">
        <v>303</v>
      </c>
      <c r="G14" s="90" t="s">
        <v>260</v>
      </c>
      <c r="H14" s="91" t="s">
        <v>280</v>
      </c>
    </row>
    <row r="15" spans="1:8" x14ac:dyDescent="0.35">
      <c r="A15" s="89" t="s">
        <v>255</v>
      </c>
      <c r="B15" s="90" t="s">
        <v>367</v>
      </c>
      <c r="C15" s="90" t="s">
        <v>368</v>
      </c>
      <c r="D15" s="90">
        <v>1</v>
      </c>
      <c r="E15" s="90">
        <v>999</v>
      </c>
      <c r="F15" s="90" t="s">
        <v>303</v>
      </c>
      <c r="G15" s="90" t="s">
        <v>260</v>
      </c>
      <c r="H15" s="91" t="s">
        <v>280</v>
      </c>
    </row>
    <row r="16" spans="1:8" x14ac:dyDescent="0.35">
      <c r="A16" s="89" t="s">
        <v>255</v>
      </c>
      <c r="B16" s="90" t="s">
        <v>369</v>
      </c>
      <c r="C16" s="90" t="s">
        <v>370</v>
      </c>
      <c r="D16" s="90">
        <v>1</v>
      </c>
      <c r="E16" s="90">
        <v>999</v>
      </c>
      <c r="F16" s="90" t="s">
        <v>303</v>
      </c>
      <c r="G16" s="90" t="s">
        <v>260</v>
      </c>
      <c r="H16" s="91" t="s">
        <v>280</v>
      </c>
    </row>
    <row r="17" spans="1:8" x14ac:dyDescent="0.35">
      <c r="A17" s="89" t="s">
        <v>255</v>
      </c>
      <c r="B17" s="90" t="s">
        <v>371</v>
      </c>
      <c r="C17" s="90" t="s">
        <v>372</v>
      </c>
      <c r="D17" s="90">
        <v>1</v>
      </c>
      <c r="E17" s="90">
        <v>999</v>
      </c>
      <c r="F17" s="90" t="s">
        <v>303</v>
      </c>
      <c r="G17" s="90" t="s">
        <v>260</v>
      </c>
      <c r="H17" s="91" t="s">
        <v>280</v>
      </c>
    </row>
    <row r="18" spans="1:8" x14ac:dyDescent="0.35">
      <c r="A18" s="89" t="s">
        <v>255</v>
      </c>
      <c r="B18" s="90" t="s">
        <v>373</v>
      </c>
      <c r="C18" s="90" t="s">
        <v>374</v>
      </c>
      <c r="D18" s="90">
        <v>1</v>
      </c>
      <c r="E18" s="90">
        <v>999</v>
      </c>
      <c r="F18" s="90" t="s">
        <v>303</v>
      </c>
      <c r="G18" s="90" t="s">
        <v>260</v>
      </c>
      <c r="H18" s="91" t="s">
        <v>280</v>
      </c>
    </row>
    <row r="19" spans="1:8" x14ac:dyDescent="0.35">
      <c r="A19" s="89" t="s">
        <v>255</v>
      </c>
      <c r="B19" s="90" t="s">
        <v>375</v>
      </c>
      <c r="C19" s="90" t="s">
        <v>376</v>
      </c>
      <c r="D19" s="90">
        <v>1</v>
      </c>
      <c r="E19" s="90">
        <v>999</v>
      </c>
      <c r="F19" s="90" t="s">
        <v>303</v>
      </c>
      <c r="G19" s="90" t="s">
        <v>260</v>
      </c>
      <c r="H19" s="91" t="s">
        <v>280</v>
      </c>
    </row>
    <row r="20" spans="1:8" x14ac:dyDescent="0.35">
      <c r="A20" s="89" t="s">
        <v>255</v>
      </c>
      <c r="B20" s="90" t="s">
        <v>377</v>
      </c>
      <c r="C20" s="90" t="s">
        <v>378</v>
      </c>
      <c r="D20" s="90">
        <v>1</v>
      </c>
      <c r="E20" s="90">
        <v>999</v>
      </c>
      <c r="F20" s="90" t="s">
        <v>303</v>
      </c>
      <c r="G20" s="90" t="s">
        <v>260</v>
      </c>
      <c r="H20" s="91" t="s">
        <v>280</v>
      </c>
    </row>
    <row r="21" spans="1:8" x14ac:dyDescent="0.35">
      <c r="A21" s="122" t="s">
        <v>255</v>
      </c>
      <c r="B21" s="123" t="s">
        <v>379</v>
      </c>
      <c r="C21" s="123" t="s">
        <v>394</v>
      </c>
      <c r="D21" s="123">
        <v>999</v>
      </c>
      <c r="E21" s="123">
        <v>5</v>
      </c>
      <c r="F21" s="123" t="s">
        <v>303</v>
      </c>
      <c r="G21" s="123" t="s">
        <v>260</v>
      </c>
      <c r="H21" s="124" t="s">
        <v>409</v>
      </c>
    </row>
    <row r="22" spans="1:8" x14ac:dyDescent="0.35">
      <c r="A22" s="122" t="s">
        <v>255</v>
      </c>
      <c r="B22" s="123" t="s">
        <v>380</v>
      </c>
      <c r="C22" s="123" t="s">
        <v>395</v>
      </c>
      <c r="D22" s="123">
        <v>1</v>
      </c>
      <c r="E22" s="123">
        <v>5</v>
      </c>
      <c r="F22" s="123" t="s">
        <v>303</v>
      </c>
      <c r="G22" s="123" t="s">
        <v>260</v>
      </c>
      <c r="H22" s="124" t="s">
        <v>409</v>
      </c>
    </row>
    <row r="23" spans="1:8" x14ac:dyDescent="0.35">
      <c r="A23" s="122" t="s">
        <v>255</v>
      </c>
      <c r="B23" s="123" t="s">
        <v>412</v>
      </c>
      <c r="C23" s="123" t="s">
        <v>413</v>
      </c>
      <c r="D23" s="123">
        <v>1</v>
      </c>
      <c r="E23" s="123">
        <v>5</v>
      </c>
      <c r="F23" s="123" t="s">
        <v>303</v>
      </c>
      <c r="G23" s="123" t="s">
        <v>260</v>
      </c>
      <c r="H23" s="124" t="s">
        <v>409</v>
      </c>
    </row>
    <row r="24" spans="1:8" x14ac:dyDescent="0.35">
      <c r="A24" s="122" t="s">
        <v>255</v>
      </c>
      <c r="B24" s="123" t="s">
        <v>381</v>
      </c>
      <c r="C24" s="123" t="s">
        <v>396</v>
      </c>
      <c r="D24" s="123">
        <v>1</v>
      </c>
      <c r="E24" s="123">
        <v>5</v>
      </c>
      <c r="F24" s="123" t="s">
        <v>303</v>
      </c>
      <c r="G24" s="123" t="s">
        <v>260</v>
      </c>
      <c r="H24" s="124" t="s">
        <v>409</v>
      </c>
    </row>
    <row r="25" spans="1:8" x14ac:dyDescent="0.35">
      <c r="A25" s="122" t="s">
        <v>255</v>
      </c>
      <c r="B25" s="123" t="s">
        <v>382</v>
      </c>
      <c r="C25" s="123" t="s">
        <v>397</v>
      </c>
      <c r="D25" s="123">
        <v>1</v>
      </c>
      <c r="E25" s="123">
        <v>5</v>
      </c>
      <c r="F25" s="123" t="s">
        <v>303</v>
      </c>
      <c r="G25" s="123" t="s">
        <v>260</v>
      </c>
      <c r="H25" s="124" t="s">
        <v>409</v>
      </c>
    </row>
    <row r="26" spans="1:8" x14ac:dyDescent="0.35">
      <c r="A26" s="122" t="s">
        <v>255</v>
      </c>
      <c r="B26" s="123" t="s">
        <v>383</v>
      </c>
      <c r="C26" s="123" t="s">
        <v>398</v>
      </c>
      <c r="D26" s="123">
        <v>1</v>
      </c>
      <c r="E26" s="123">
        <v>5</v>
      </c>
      <c r="F26" s="123" t="s">
        <v>303</v>
      </c>
      <c r="G26" s="123" t="s">
        <v>260</v>
      </c>
      <c r="H26" s="124" t="s">
        <v>409</v>
      </c>
    </row>
    <row r="27" spans="1:8" x14ac:dyDescent="0.35">
      <c r="A27" s="122" t="s">
        <v>255</v>
      </c>
      <c r="B27" s="123" t="s">
        <v>384</v>
      </c>
      <c r="C27" s="123" t="s">
        <v>399</v>
      </c>
      <c r="D27" s="123">
        <v>1</v>
      </c>
      <c r="E27" s="123">
        <v>5</v>
      </c>
      <c r="F27" s="123" t="s">
        <v>303</v>
      </c>
      <c r="G27" s="123" t="s">
        <v>260</v>
      </c>
      <c r="H27" s="124" t="s">
        <v>409</v>
      </c>
    </row>
    <row r="28" spans="1:8" x14ac:dyDescent="0.35">
      <c r="A28" s="122" t="s">
        <v>255</v>
      </c>
      <c r="B28" s="123" t="s">
        <v>385</v>
      </c>
      <c r="C28" s="123" t="s">
        <v>400</v>
      </c>
      <c r="D28" s="123">
        <v>1</v>
      </c>
      <c r="E28" s="123">
        <v>5</v>
      </c>
      <c r="F28" s="123" t="s">
        <v>303</v>
      </c>
      <c r="G28" s="123" t="s">
        <v>260</v>
      </c>
      <c r="H28" s="124" t="s">
        <v>409</v>
      </c>
    </row>
    <row r="29" spans="1:8" x14ac:dyDescent="0.35">
      <c r="A29" s="122" t="s">
        <v>255</v>
      </c>
      <c r="B29" s="123" t="s">
        <v>386</v>
      </c>
      <c r="C29" s="123" t="s">
        <v>401</v>
      </c>
      <c r="D29" s="123">
        <v>1</v>
      </c>
      <c r="E29" s="123">
        <v>5</v>
      </c>
      <c r="F29" s="123" t="s">
        <v>303</v>
      </c>
      <c r="G29" s="123" t="s">
        <v>260</v>
      </c>
      <c r="H29" s="124" t="s">
        <v>409</v>
      </c>
    </row>
    <row r="30" spans="1:8" x14ac:dyDescent="0.35">
      <c r="A30" s="122" t="s">
        <v>255</v>
      </c>
      <c r="B30" s="123" t="s">
        <v>387</v>
      </c>
      <c r="C30" s="123" t="s">
        <v>402</v>
      </c>
      <c r="D30" s="123">
        <v>1</v>
      </c>
      <c r="E30" s="123">
        <v>5</v>
      </c>
      <c r="F30" s="123" t="s">
        <v>303</v>
      </c>
      <c r="G30" s="123" t="s">
        <v>260</v>
      </c>
      <c r="H30" s="124" t="s">
        <v>409</v>
      </c>
    </row>
    <row r="31" spans="1:8" x14ac:dyDescent="0.35">
      <c r="A31" s="122" t="s">
        <v>255</v>
      </c>
      <c r="B31" s="123" t="s">
        <v>388</v>
      </c>
      <c r="C31" s="123" t="s">
        <v>403</v>
      </c>
      <c r="D31" s="123">
        <v>1</v>
      </c>
      <c r="E31" s="123">
        <v>5</v>
      </c>
      <c r="F31" s="123" t="s">
        <v>303</v>
      </c>
      <c r="G31" s="123" t="s">
        <v>260</v>
      </c>
      <c r="H31" s="124" t="s">
        <v>409</v>
      </c>
    </row>
    <row r="32" spans="1:8" x14ac:dyDescent="0.35">
      <c r="A32" s="122" t="s">
        <v>255</v>
      </c>
      <c r="B32" s="123" t="s">
        <v>389</v>
      </c>
      <c r="C32" s="123" t="s">
        <v>404</v>
      </c>
      <c r="D32" s="123">
        <v>1</v>
      </c>
      <c r="E32" s="123">
        <v>5</v>
      </c>
      <c r="F32" s="123" t="s">
        <v>303</v>
      </c>
      <c r="G32" s="123" t="s">
        <v>260</v>
      </c>
      <c r="H32" s="124" t="s">
        <v>409</v>
      </c>
    </row>
    <row r="33" spans="1:8" x14ac:dyDescent="0.35">
      <c r="A33" s="122" t="s">
        <v>255</v>
      </c>
      <c r="B33" s="123" t="s">
        <v>390</v>
      </c>
      <c r="C33" s="123" t="s">
        <v>405</v>
      </c>
      <c r="D33" s="123">
        <v>1</v>
      </c>
      <c r="E33" s="123">
        <v>5</v>
      </c>
      <c r="F33" s="123" t="s">
        <v>303</v>
      </c>
      <c r="G33" s="123" t="s">
        <v>260</v>
      </c>
      <c r="H33" s="124" t="s">
        <v>409</v>
      </c>
    </row>
    <row r="34" spans="1:8" x14ac:dyDescent="0.35">
      <c r="A34" s="122" t="s">
        <v>255</v>
      </c>
      <c r="B34" s="123" t="s">
        <v>391</v>
      </c>
      <c r="C34" s="123" t="s">
        <v>406</v>
      </c>
      <c r="D34" s="123">
        <v>1</v>
      </c>
      <c r="E34" s="123">
        <v>5</v>
      </c>
      <c r="F34" s="123" t="s">
        <v>303</v>
      </c>
      <c r="G34" s="123" t="s">
        <v>260</v>
      </c>
      <c r="H34" s="124" t="s">
        <v>409</v>
      </c>
    </row>
    <row r="35" spans="1:8" x14ac:dyDescent="0.35">
      <c r="A35" s="122" t="s">
        <v>255</v>
      </c>
      <c r="B35" s="123" t="s">
        <v>392</v>
      </c>
      <c r="C35" s="123" t="s">
        <v>407</v>
      </c>
      <c r="D35" s="123">
        <v>1</v>
      </c>
      <c r="E35" s="123">
        <v>5</v>
      </c>
      <c r="F35" s="123" t="s">
        <v>303</v>
      </c>
      <c r="G35" s="123" t="s">
        <v>260</v>
      </c>
      <c r="H35" s="124" t="s">
        <v>409</v>
      </c>
    </row>
    <row r="36" spans="1:8" x14ac:dyDescent="0.35">
      <c r="A36" s="122" t="s">
        <v>255</v>
      </c>
      <c r="B36" s="123" t="s">
        <v>393</v>
      </c>
      <c r="C36" s="123" t="s">
        <v>408</v>
      </c>
      <c r="D36" s="123">
        <v>1</v>
      </c>
      <c r="E36" s="123">
        <v>5</v>
      </c>
      <c r="F36" s="123" t="s">
        <v>303</v>
      </c>
      <c r="G36" s="123" t="s">
        <v>260</v>
      </c>
      <c r="H36" s="124" t="s">
        <v>409</v>
      </c>
    </row>
  </sheetData>
  <sheetProtection sheet="1" objects="1" scenarios="1" selectLockedCells="1" selectUnlockedCells="1"/>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tabColor rgb="FFB381D9"/>
  </sheetPr>
  <dimension ref="A1:M110"/>
  <sheetViews>
    <sheetView workbookViewId="0">
      <selection activeCell="C4" sqref="C4"/>
    </sheetView>
  </sheetViews>
  <sheetFormatPr defaultRowHeight="14.5" x14ac:dyDescent="0.35"/>
  <cols>
    <col min="1" max="1" width="8.7265625" customWidth="1"/>
    <col min="2" max="2" width="12.81640625" style="94" customWidth="1"/>
    <col min="3" max="3" width="54.54296875" customWidth="1"/>
    <col min="4" max="4" width="9.81640625" customWidth="1"/>
    <col min="5" max="5" width="11.1796875" customWidth="1"/>
    <col min="6" max="6" width="10.1796875" customWidth="1"/>
    <col min="7" max="7" width="9.54296875" customWidth="1"/>
    <col min="8" max="8" width="9.81640625" customWidth="1"/>
    <col min="9" max="9" width="10.7265625" customWidth="1"/>
    <col min="10" max="10" width="9.81640625" customWidth="1"/>
    <col min="11" max="12" width="11.1796875" style="393" customWidth="1"/>
    <col min="13" max="13" width="50.81640625" customWidth="1"/>
  </cols>
  <sheetData>
    <row r="1" spans="1:13" s="24" customFormat="1" ht="65.5" customHeight="1" thickBot="1" x14ac:dyDescent="0.4">
      <c r="A1" s="87" t="s">
        <v>304</v>
      </c>
      <c r="B1" s="87" t="s">
        <v>307</v>
      </c>
      <c r="C1" s="87" t="s">
        <v>308</v>
      </c>
      <c r="D1" s="87" t="s">
        <v>309</v>
      </c>
      <c r="E1" s="87" t="s">
        <v>310</v>
      </c>
      <c r="F1" s="87" t="s">
        <v>311</v>
      </c>
      <c r="G1" s="87" t="s">
        <v>312</v>
      </c>
      <c r="H1" s="87" t="s">
        <v>313</v>
      </c>
      <c r="I1" s="87" t="s">
        <v>314</v>
      </c>
      <c r="J1" s="87" t="s">
        <v>315</v>
      </c>
      <c r="K1" s="339" t="s">
        <v>596</v>
      </c>
      <c r="L1" s="339" t="s">
        <v>342</v>
      </c>
      <c r="M1" s="87" t="s">
        <v>316</v>
      </c>
    </row>
    <row r="2" spans="1:13" ht="14.5" customHeight="1" x14ac:dyDescent="0.35">
      <c r="A2" s="150" t="s">
        <v>305</v>
      </c>
      <c r="B2" s="150" t="s">
        <v>255</v>
      </c>
      <c r="C2" s="151" t="s">
        <v>317</v>
      </c>
      <c r="D2" s="96" t="s">
        <v>318</v>
      </c>
      <c r="E2" s="96" t="s">
        <v>417</v>
      </c>
      <c r="F2" s="97">
        <v>1</v>
      </c>
      <c r="G2" s="97">
        <v>5</v>
      </c>
      <c r="H2" s="98" t="s">
        <v>319</v>
      </c>
      <c r="I2" s="99">
        <v>0.1</v>
      </c>
      <c r="J2" s="98" t="s">
        <v>57</v>
      </c>
      <c r="K2" s="463" t="s">
        <v>261</v>
      </c>
      <c r="L2" s="463">
        <v>3</v>
      </c>
      <c r="M2" s="100" t="s">
        <v>603</v>
      </c>
    </row>
    <row r="3" spans="1:13" ht="14.5" customHeight="1" x14ac:dyDescent="0.35">
      <c r="A3" s="150" t="s">
        <v>305</v>
      </c>
      <c r="B3" s="150" t="s">
        <v>255</v>
      </c>
      <c r="C3" s="151" t="s">
        <v>320</v>
      </c>
      <c r="D3" s="96" t="s">
        <v>321</v>
      </c>
      <c r="E3" s="96" t="s">
        <v>418</v>
      </c>
      <c r="F3" s="97">
        <v>1</v>
      </c>
      <c r="G3" s="97">
        <v>5</v>
      </c>
      <c r="H3" s="98" t="s">
        <v>319</v>
      </c>
      <c r="I3" s="99">
        <v>0.1</v>
      </c>
      <c r="J3" s="98" t="s">
        <v>57</v>
      </c>
      <c r="K3" s="464" t="s">
        <v>261</v>
      </c>
      <c r="L3" s="465">
        <v>3</v>
      </c>
      <c r="M3" s="101" t="s">
        <v>604</v>
      </c>
    </row>
    <row r="4" spans="1:13" ht="14.5" customHeight="1" x14ac:dyDescent="0.35">
      <c r="A4" s="150" t="s">
        <v>305</v>
      </c>
      <c r="B4" s="150" t="s">
        <v>255</v>
      </c>
      <c r="C4" s="151" t="s">
        <v>322</v>
      </c>
      <c r="D4" s="96" t="s">
        <v>323</v>
      </c>
      <c r="E4" s="96" t="s">
        <v>419</v>
      </c>
      <c r="F4" s="97">
        <v>1</v>
      </c>
      <c r="G4" s="97">
        <v>5</v>
      </c>
      <c r="H4" s="98" t="s">
        <v>319</v>
      </c>
      <c r="I4" s="99">
        <v>0.1</v>
      </c>
      <c r="J4" s="98" t="s">
        <v>57</v>
      </c>
      <c r="K4" s="465" t="s">
        <v>261</v>
      </c>
      <c r="L4" s="465">
        <v>3</v>
      </c>
      <c r="M4" s="100" t="s">
        <v>605</v>
      </c>
    </row>
    <row r="5" spans="1:13" x14ac:dyDescent="0.35">
      <c r="A5" s="150" t="s">
        <v>305</v>
      </c>
      <c r="B5" s="150" t="s">
        <v>255</v>
      </c>
      <c r="C5" s="151" t="s">
        <v>324</v>
      </c>
      <c r="D5" s="96" t="s">
        <v>325</v>
      </c>
      <c r="E5" s="96" t="s">
        <v>349</v>
      </c>
      <c r="F5" s="97">
        <v>1</v>
      </c>
      <c r="G5" s="97">
        <v>5</v>
      </c>
      <c r="H5" s="98" t="s">
        <v>319</v>
      </c>
      <c r="I5" s="99">
        <v>0.1</v>
      </c>
      <c r="J5" s="98" t="s">
        <v>57</v>
      </c>
      <c r="K5" s="465" t="s">
        <v>261</v>
      </c>
      <c r="L5" s="465">
        <v>3</v>
      </c>
      <c r="M5" s="101" t="s">
        <v>606</v>
      </c>
    </row>
    <row r="6" spans="1:13" x14ac:dyDescent="0.35">
      <c r="A6" s="150" t="s">
        <v>305</v>
      </c>
      <c r="B6" s="150" t="s">
        <v>255</v>
      </c>
      <c r="C6" s="151" t="s">
        <v>326</v>
      </c>
      <c r="D6" s="96" t="s">
        <v>302</v>
      </c>
      <c r="E6" s="96" t="s">
        <v>349</v>
      </c>
      <c r="F6" s="97">
        <v>3</v>
      </c>
      <c r="G6" s="97">
        <v>5</v>
      </c>
      <c r="H6" s="98" t="s">
        <v>319</v>
      </c>
      <c r="I6" s="99">
        <v>0.1</v>
      </c>
      <c r="J6" s="98" t="s">
        <v>57</v>
      </c>
      <c r="K6" s="465" t="s">
        <v>261</v>
      </c>
      <c r="L6" s="466">
        <v>3</v>
      </c>
      <c r="M6" s="100" t="s">
        <v>327</v>
      </c>
    </row>
    <row r="7" spans="1:13" x14ac:dyDescent="0.35">
      <c r="A7" s="119" t="s">
        <v>305</v>
      </c>
      <c r="B7" s="119" t="s">
        <v>255</v>
      </c>
      <c r="C7" s="151" t="s">
        <v>420</v>
      </c>
      <c r="D7" s="96" t="s">
        <v>350</v>
      </c>
      <c r="E7" s="96" t="s">
        <v>421</v>
      </c>
      <c r="F7" s="97">
        <v>1</v>
      </c>
      <c r="G7" s="97">
        <v>9999</v>
      </c>
      <c r="H7" s="98" t="s">
        <v>319</v>
      </c>
      <c r="I7" s="99">
        <v>0.1</v>
      </c>
      <c r="J7" s="98" t="s">
        <v>57</v>
      </c>
      <c r="K7" s="465" t="s">
        <v>261</v>
      </c>
      <c r="L7" s="466">
        <v>3</v>
      </c>
      <c r="M7" s="100" t="s">
        <v>601</v>
      </c>
    </row>
    <row r="8" spans="1:13" x14ac:dyDescent="0.35">
      <c r="A8" s="119" t="s">
        <v>305</v>
      </c>
      <c r="B8" s="119" t="s">
        <v>255</v>
      </c>
      <c r="C8" s="151" t="s">
        <v>422</v>
      </c>
      <c r="D8" s="96" t="s">
        <v>379</v>
      </c>
      <c r="E8" s="96" t="s">
        <v>423</v>
      </c>
      <c r="F8" s="97">
        <v>1</v>
      </c>
      <c r="G8" s="97">
        <v>9999</v>
      </c>
      <c r="H8" s="98" t="s">
        <v>319</v>
      </c>
      <c r="I8" s="99">
        <v>0.1</v>
      </c>
      <c r="J8" s="98" t="s">
        <v>57</v>
      </c>
      <c r="K8" s="465" t="s">
        <v>261</v>
      </c>
      <c r="L8" s="465">
        <v>3</v>
      </c>
      <c r="M8" s="100" t="s">
        <v>602</v>
      </c>
    </row>
    <row r="9" spans="1:13" ht="15" thickBot="1" x14ac:dyDescent="0.4">
      <c r="A9" s="119" t="s">
        <v>305</v>
      </c>
      <c r="B9" s="119" t="s">
        <v>255</v>
      </c>
      <c r="C9" s="151" t="s">
        <v>424</v>
      </c>
      <c r="D9" s="96" t="s">
        <v>394</v>
      </c>
      <c r="E9" s="96" t="s">
        <v>349</v>
      </c>
      <c r="F9" s="97">
        <v>1</v>
      </c>
      <c r="G9" s="97">
        <v>9999</v>
      </c>
      <c r="H9" s="98" t="s">
        <v>319</v>
      </c>
      <c r="I9" s="99">
        <v>0.1</v>
      </c>
      <c r="J9" s="98" t="s">
        <v>57</v>
      </c>
      <c r="K9" s="467" t="s">
        <v>261</v>
      </c>
      <c r="L9" s="467">
        <v>3</v>
      </c>
      <c r="M9" s="100" t="s">
        <v>621</v>
      </c>
    </row>
    <row r="10" spans="1:13" x14ac:dyDescent="0.35">
      <c r="B10" s="25"/>
      <c r="C10" s="94"/>
      <c r="D10" s="25"/>
      <c r="E10" s="25"/>
      <c r="F10" s="102"/>
      <c r="G10" s="102"/>
      <c r="H10" s="103"/>
      <c r="I10" s="104"/>
      <c r="J10" s="103"/>
      <c r="K10" s="468"/>
      <c r="L10" s="468"/>
      <c r="M10" s="105"/>
    </row>
    <row r="11" spans="1:13" ht="14.5" customHeight="1" x14ac:dyDescent="0.35">
      <c r="A11" s="78"/>
      <c r="B11" s="25"/>
      <c r="C11" s="94"/>
      <c r="D11" s="25"/>
      <c r="E11" s="25"/>
      <c r="F11" s="106"/>
      <c r="G11" s="106"/>
      <c r="H11" s="103"/>
      <c r="I11" s="107"/>
      <c r="J11" s="103"/>
      <c r="K11" s="469"/>
      <c r="L11" s="469"/>
      <c r="M11" s="105"/>
    </row>
    <row r="12" spans="1:13" s="108" customFormat="1" ht="67.5" customHeight="1" x14ac:dyDescent="0.35">
      <c r="B12" s="109"/>
      <c r="C12" s="110"/>
      <c r="D12" s="109"/>
      <c r="E12" s="109"/>
      <c r="F12" s="563" t="s">
        <v>328</v>
      </c>
      <c r="G12" s="563"/>
      <c r="H12" s="111" t="s">
        <v>329</v>
      </c>
      <c r="I12" s="112" t="s">
        <v>330</v>
      </c>
      <c r="J12" s="113" t="s">
        <v>331</v>
      </c>
      <c r="K12" s="470"/>
      <c r="L12" s="471" t="s">
        <v>597</v>
      </c>
      <c r="M12" s="114"/>
    </row>
    <row r="14" spans="1:13" x14ac:dyDescent="0.35">
      <c r="A14" s="92" t="s">
        <v>174</v>
      </c>
      <c r="B14" s="115"/>
      <c r="C14" s="93"/>
      <c r="D14" s="93"/>
      <c r="E14" s="93"/>
      <c r="F14" s="93"/>
      <c r="G14" s="93"/>
      <c r="H14" s="93"/>
      <c r="I14" s="93"/>
      <c r="J14" s="93"/>
      <c r="K14" s="472"/>
      <c r="L14" s="472"/>
      <c r="M14" s="93"/>
    </row>
    <row r="15" spans="1:13" x14ac:dyDescent="0.35">
      <c r="A15" s="94" t="s">
        <v>332</v>
      </c>
      <c r="C15" s="25"/>
      <c r="D15" s="25"/>
      <c r="E15" s="25"/>
      <c r="F15" s="25"/>
      <c r="G15" s="25"/>
      <c r="H15" s="25"/>
      <c r="I15" s="25"/>
      <c r="J15" s="25"/>
      <c r="K15" s="473"/>
      <c r="L15" s="473"/>
      <c r="M15" s="25"/>
    </row>
    <row r="16" spans="1:13" x14ac:dyDescent="0.35">
      <c r="A16" s="95" t="s">
        <v>333</v>
      </c>
      <c r="C16" s="25"/>
      <c r="D16" s="25"/>
      <c r="E16" s="25"/>
      <c r="F16" s="25"/>
      <c r="G16" s="25"/>
      <c r="H16" s="25"/>
      <c r="I16" s="25"/>
      <c r="J16" s="25"/>
      <c r="K16" s="473"/>
      <c r="L16" s="473"/>
      <c r="M16" s="25"/>
    </row>
    <row r="17" spans="1:13" x14ac:dyDescent="0.35">
      <c r="A17" s="95" t="s">
        <v>334</v>
      </c>
      <c r="C17" s="25"/>
      <c r="D17" s="25"/>
      <c r="E17" s="25"/>
      <c r="F17" s="25"/>
      <c r="G17" s="25"/>
      <c r="H17" s="25"/>
      <c r="I17" s="25"/>
      <c r="J17" s="25"/>
      <c r="K17" s="473"/>
      <c r="L17" s="473"/>
      <c r="M17" s="25"/>
    </row>
    <row r="18" spans="1:13" x14ac:dyDescent="0.35">
      <c r="A18" s="95" t="s">
        <v>335</v>
      </c>
      <c r="C18" s="25"/>
      <c r="D18" s="25"/>
      <c r="E18" s="25"/>
      <c r="F18" s="25"/>
      <c r="G18" s="25"/>
      <c r="H18" s="25"/>
      <c r="I18" s="25"/>
      <c r="J18" s="25"/>
      <c r="K18" s="473"/>
      <c r="L18" s="473"/>
      <c r="M18" s="25"/>
    </row>
    <row r="19" spans="1:13" x14ac:dyDescent="0.35">
      <c r="A19" s="95"/>
      <c r="C19" s="25"/>
      <c r="D19" s="25"/>
      <c r="E19" s="25"/>
      <c r="F19" s="25"/>
      <c r="G19" s="25"/>
      <c r="H19" s="25"/>
      <c r="I19" s="25"/>
      <c r="J19" s="25"/>
      <c r="K19" s="473"/>
      <c r="L19" s="473"/>
      <c r="M19" s="25"/>
    </row>
    <row r="20" spans="1:13" x14ac:dyDescent="0.35">
      <c r="A20" s="95"/>
      <c r="C20" s="25"/>
      <c r="D20" s="25"/>
      <c r="E20" s="25"/>
      <c r="F20" s="25"/>
      <c r="G20" s="25"/>
      <c r="H20" s="25"/>
      <c r="I20" s="25"/>
      <c r="J20" s="25"/>
      <c r="K20" s="473"/>
      <c r="L20" s="473"/>
      <c r="M20" s="25"/>
    </row>
    <row r="21" spans="1:13" x14ac:dyDescent="0.35">
      <c r="A21" s="92" t="s">
        <v>336</v>
      </c>
      <c r="B21" s="115"/>
      <c r="C21" s="93"/>
      <c r="D21" s="93"/>
      <c r="E21" s="93"/>
      <c r="F21" s="93"/>
      <c r="G21" s="93"/>
      <c r="H21" s="93"/>
      <c r="I21" s="93"/>
      <c r="J21" s="93"/>
      <c r="K21" s="472"/>
      <c r="L21" s="472"/>
      <c r="M21" s="93"/>
    </row>
    <row r="22" spans="1:13" x14ac:dyDescent="0.35">
      <c r="A22" s="116" t="s">
        <v>254</v>
      </c>
      <c r="B22" s="117"/>
      <c r="C22" s="94" t="s">
        <v>306</v>
      </c>
      <c r="E22" s="25"/>
      <c r="F22" s="25"/>
      <c r="G22" s="25"/>
      <c r="H22" s="25"/>
      <c r="I22" s="25"/>
      <c r="J22" s="25"/>
      <c r="K22" s="473"/>
      <c r="L22" s="473"/>
      <c r="M22" s="25"/>
    </row>
    <row r="23" spans="1:13" x14ac:dyDescent="0.35">
      <c r="A23" s="116" t="s">
        <v>308</v>
      </c>
      <c r="B23" s="117"/>
      <c r="C23" s="94" t="s">
        <v>337</v>
      </c>
      <c r="E23" s="25"/>
      <c r="F23" s="25"/>
      <c r="G23" s="25"/>
      <c r="H23" s="25"/>
      <c r="I23" s="25"/>
      <c r="J23" s="25"/>
      <c r="K23" s="473"/>
      <c r="L23" s="473"/>
      <c r="M23" s="25"/>
    </row>
    <row r="24" spans="1:13" x14ac:dyDescent="0.35">
      <c r="A24" s="116" t="s">
        <v>338</v>
      </c>
      <c r="B24" s="117"/>
      <c r="C24" s="94"/>
      <c r="E24" s="25"/>
      <c r="F24" s="25"/>
      <c r="G24" s="25"/>
      <c r="H24" s="25"/>
      <c r="I24" s="25"/>
      <c r="J24" s="25"/>
      <c r="K24" s="473"/>
      <c r="L24" s="473"/>
      <c r="M24" s="25"/>
    </row>
    <row r="25" spans="1:13" x14ac:dyDescent="0.35">
      <c r="A25" s="116" t="s">
        <v>339</v>
      </c>
      <c r="B25" s="117"/>
      <c r="C25" s="94"/>
      <c r="E25" s="25"/>
      <c r="F25" s="25"/>
      <c r="G25" s="25"/>
      <c r="H25" s="25"/>
      <c r="I25" s="25"/>
      <c r="J25" s="25"/>
      <c r="K25" s="473"/>
      <c r="L25" s="473"/>
      <c r="M25" s="25"/>
    </row>
    <row r="26" spans="1:13" x14ac:dyDescent="0.35">
      <c r="A26" s="116" t="s">
        <v>311</v>
      </c>
      <c r="B26" s="117"/>
      <c r="C26" s="94"/>
      <c r="E26" s="25"/>
      <c r="F26" s="25"/>
      <c r="G26" s="25"/>
      <c r="H26" s="25"/>
      <c r="I26" s="25"/>
      <c r="J26" s="25"/>
      <c r="K26" s="473"/>
      <c r="L26" s="473"/>
      <c r="M26" s="25"/>
    </row>
    <row r="27" spans="1:13" x14ac:dyDescent="0.35">
      <c r="A27" s="116" t="s">
        <v>312</v>
      </c>
      <c r="B27" s="117"/>
      <c r="C27" s="94"/>
      <c r="E27" s="25"/>
      <c r="F27" s="25"/>
      <c r="G27" s="25"/>
      <c r="H27" s="25"/>
      <c r="I27" s="25"/>
      <c r="J27" s="25"/>
      <c r="K27" s="473"/>
      <c r="L27" s="473"/>
      <c r="M27" s="25"/>
    </row>
    <row r="28" spans="1:13" x14ac:dyDescent="0.35">
      <c r="A28" s="116" t="s">
        <v>313</v>
      </c>
      <c r="B28" s="117"/>
      <c r="C28" s="94"/>
      <c r="E28" s="25"/>
      <c r="F28" s="25"/>
      <c r="G28" s="25"/>
      <c r="H28" s="25"/>
      <c r="I28" s="25"/>
      <c r="J28" s="25"/>
      <c r="K28" s="473"/>
      <c r="L28" s="473"/>
      <c r="M28" s="25"/>
    </row>
    <row r="29" spans="1:13" x14ac:dyDescent="0.35">
      <c r="A29" s="116" t="s">
        <v>314</v>
      </c>
      <c r="B29" s="117"/>
      <c r="C29" s="94"/>
      <c r="E29" s="25"/>
      <c r="F29" s="25"/>
      <c r="G29" s="25"/>
      <c r="H29" s="25"/>
      <c r="I29" s="25"/>
      <c r="J29" s="25"/>
      <c r="K29" s="473"/>
      <c r="L29" s="473"/>
      <c r="M29" s="25"/>
    </row>
    <row r="30" spans="1:13" x14ac:dyDescent="0.35">
      <c r="A30" s="116" t="s">
        <v>315</v>
      </c>
      <c r="B30" s="117"/>
      <c r="C30" s="94"/>
      <c r="E30" s="25"/>
      <c r="F30" s="25"/>
      <c r="G30" s="25"/>
      <c r="H30" s="25"/>
      <c r="I30" s="25"/>
      <c r="J30" s="25"/>
      <c r="K30" s="473"/>
      <c r="L30" s="473"/>
      <c r="M30" s="25"/>
    </row>
    <row r="31" spans="1:13" x14ac:dyDescent="0.35">
      <c r="A31" s="118" t="s">
        <v>316</v>
      </c>
      <c r="B31" s="117"/>
      <c r="C31" s="94" t="s">
        <v>340</v>
      </c>
      <c r="E31" s="25"/>
      <c r="F31" s="25"/>
      <c r="G31" s="25"/>
      <c r="H31" s="25"/>
      <c r="I31" s="25"/>
      <c r="J31" s="25"/>
      <c r="K31" s="473"/>
      <c r="L31" s="473"/>
      <c r="M31" s="25"/>
    </row>
    <row r="32" spans="1:13" x14ac:dyDescent="0.35">
      <c r="A32" s="94"/>
      <c r="C32" s="25"/>
      <c r="D32" s="94"/>
      <c r="E32" s="25"/>
      <c r="F32" s="25"/>
      <c r="G32" s="25"/>
      <c r="H32" s="25"/>
      <c r="I32" s="25"/>
      <c r="J32" s="25"/>
      <c r="K32" s="473"/>
      <c r="L32" s="473"/>
      <c r="M32" s="25"/>
    </row>
    <row r="33" spans="1:13" x14ac:dyDescent="0.35">
      <c r="A33" s="94"/>
      <c r="C33" s="25"/>
      <c r="D33" s="94"/>
      <c r="E33" s="25"/>
      <c r="F33" s="25"/>
      <c r="G33" s="25"/>
      <c r="H33" s="25"/>
      <c r="I33" s="25"/>
      <c r="J33" s="25"/>
      <c r="K33" s="473"/>
      <c r="L33" s="473"/>
      <c r="M33" s="25"/>
    </row>
    <row r="34" spans="1:13" x14ac:dyDescent="0.35">
      <c r="A34" s="94"/>
      <c r="C34" s="25"/>
      <c r="D34" s="94"/>
      <c r="E34" s="25"/>
      <c r="F34" s="25"/>
      <c r="G34" s="25"/>
      <c r="H34" s="25"/>
      <c r="I34" s="25"/>
      <c r="J34" s="25"/>
      <c r="K34" s="473"/>
      <c r="L34" s="473"/>
      <c r="M34" s="25"/>
    </row>
    <row r="35" spans="1:13" x14ac:dyDescent="0.35">
      <c r="A35" s="94"/>
      <c r="C35" s="25"/>
      <c r="D35" s="25"/>
      <c r="E35" s="25"/>
      <c r="F35" s="25"/>
      <c r="G35" s="25"/>
      <c r="H35" s="25"/>
      <c r="I35" s="25"/>
      <c r="J35" s="25"/>
      <c r="K35" s="473"/>
      <c r="L35" s="473"/>
      <c r="M35" s="25"/>
    </row>
    <row r="36" spans="1:13" x14ac:dyDescent="0.35">
      <c r="A36" s="94"/>
      <c r="C36" s="25"/>
      <c r="D36" s="25"/>
      <c r="E36" s="25"/>
      <c r="F36" s="25"/>
      <c r="G36" s="25"/>
      <c r="H36" s="25"/>
      <c r="I36" s="25"/>
      <c r="J36" s="25"/>
      <c r="K36" s="473"/>
      <c r="L36" s="473"/>
      <c r="M36" s="25"/>
    </row>
    <row r="110" spans="4:4" x14ac:dyDescent="0.35">
      <c r="D110" t="e">
        <v>#NAME?</v>
      </c>
    </row>
  </sheetData>
  <mergeCells count="1">
    <mergeCell ref="F12:G12"/>
  </mergeCells>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tabColor rgb="FFB381D9"/>
  </sheetPr>
  <dimension ref="A1:L20"/>
  <sheetViews>
    <sheetView workbookViewId="0">
      <selection activeCell="AA5" sqref="AA5:AE5"/>
    </sheetView>
  </sheetViews>
  <sheetFormatPr defaultRowHeight="14.5" x14ac:dyDescent="0.35"/>
  <cols>
    <col min="1" max="1" width="8.54296875" style="25" customWidth="1"/>
    <col min="2" max="2" width="11.453125" bestFit="1" customWidth="1"/>
    <col min="3" max="3" width="10.453125" style="25" customWidth="1"/>
    <col min="4" max="4" width="12.453125" style="25" customWidth="1"/>
    <col min="5" max="5" width="6.81640625" style="25" customWidth="1"/>
    <col min="6" max="6" width="8.453125" style="25" customWidth="1"/>
    <col min="7" max="7" width="11.453125" style="24" customWidth="1"/>
    <col min="8" max="8" width="12.54296875" style="24" customWidth="1"/>
  </cols>
  <sheetData>
    <row r="1" spans="1:12" s="24" customFormat="1" ht="62.5" customHeight="1" x14ac:dyDescent="0.35">
      <c r="A1" s="87" t="s">
        <v>304</v>
      </c>
      <c r="B1" s="87" t="s">
        <v>254</v>
      </c>
      <c r="C1" s="87" t="s">
        <v>295</v>
      </c>
      <c r="D1" s="87" t="s">
        <v>296</v>
      </c>
      <c r="E1" s="87" t="s">
        <v>297</v>
      </c>
      <c r="F1" s="87" t="s">
        <v>298</v>
      </c>
      <c r="G1" s="87" t="s">
        <v>341</v>
      </c>
      <c r="H1" s="87" t="s">
        <v>342</v>
      </c>
    </row>
    <row r="2" spans="1:12" s="393" customFormat="1" x14ac:dyDescent="0.35">
      <c r="A2" s="387" t="s">
        <v>305</v>
      </c>
      <c r="B2" s="388" t="s">
        <v>436</v>
      </c>
      <c r="C2" s="389" t="s">
        <v>543</v>
      </c>
      <c r="D2" s="389" t="s">
        <v>580</v>
      </c>
      <c r="E2" s="390">
        <v>1</v>
      </c>
      <c r="F2" s="390">
        <v>999</v>
      </c>
      <c r="G2" s="390" t="s">
        <v>57</v>
      </c>
      <c r="H2" s="390">
        <v>999</v>
      </c>
      <c r="I2" s="391" t="s">
        <v>581</v>
      </c>
      <c r="J2" s="392"/>
      <c r="K2" s="392"/>
      <c r="L2" s="392"/>
    </row>
    <row r="3" spans="1:12" s="393" customFormat="1" x14ac:dyDescent="0.35">
      <c r="A3" s="387" t="s">
        <v>305</v>
      </c>
      <c r="B3" s="388" t="s">
        <v>436</v>
      </c>
      <c r="C3" s="389" t="s">
        <v>582</v>
      </c>
      <c r="D3" s="389" t="s">
        <v>583</v>
      </c>
      <c r="E3" s="390">
        <v>2</v>
      </c>
      <c r="F3" s="390">
        <v>999</v>
      </c>
      <c r="G3" s="390" t="s">
        <v>57</v>
      </c>
      <c r="H3" s="390">
        <v>999</v>
      </c>
      <c r="I3" s="392"/>
      <c r="J3" s="392"/>
      <c r="K3" s="392"/>
      <c r="L3" s="392"/>
    </row>
    <row r="4" spans="1:12" x14ac:dyDescent="0.35">
      <c r="A4" s="25" t="s">
        <v>305</v>
      </c>
      <c r="B4" t="s">
        <v>255</v>
      </c>
      <c r="C4" s="25" t="s">
        <v>260</v>
      </c>
      <c r="D4" s="25" t="s">
        <v>394</v>
      </c>
      <c r="E4" s="25">
        <v>1</v>
      </c>
      <c r="F4" s="25">
        <v>5</v>
      </c>
      <c r="G4" s="24" t="s">
        <v>261</v>
      </c>
      <c r="H4" s="24">
        <v>4</v>
      </c>
    </row>
    <row r="5" spans="1:12" x14ac:dyDescent="0.35">
      <c r="A5" s="25" t="s">
        <v>305</v>
      </c>
      <c r="B5" t="s">
        <v>255</v>
      </c>
      <c r="C5" s="25" t="s">
        <v>302</v>
      </c>
      <c r="D5" s="25" t="s">
        <v>395</v>
      </c>
      <c r="E5" s="25">
        <v>1</v>
      </c>
      <c r="F5" s="25">
        <v>5</v>
      </c>
      <c r="G5" s="24" t="s">
        <v>261</v>
      </c>
      <c r="H5" s="24">
        <v>4</v>
      </c>
    </row>
    <row r="6" spans="1:12" x14ac:dyDescent="0.35">
      <c r="A6" s="25" t="s">
        <v>305</v>
      </c>
      <c r="B6" t="s">
        <v>255</v>
      </c>
      <c r="C6" s="25" t="s">
        <v>425</v>
      </c>
      <c r="D6" s="25" t="s">
        <v>413</v>
      </c>
      <c r="E6" s="25">
        <v>1</v>
      </c>
      <c r="F6" s="25">
        <v>5</v>
      </c>
      <c r="G6" s="24" t="s">
        <v>261</v>
      </c>
      <c r="H6" s="24">
        <v>4</v>
      </c>
    </row>
    <row r="7" spans="1:12" x14ac:dyDescent="0.35">
      <c r="A7" s="25" t="s">
        <v>305</v>
      </c>
      <c r="B7" t="s">
        <v>255</v>
      </c>
      <c r="C7" s="25" t="s">
        <v>262</v>
      </c>
      <c r="D7" s="25" t="s">
        <v>396</v>
      </c>
      <c r="E7" s="25">
        <v>1</v>
      </c>
      <c r="F7" s="25">
        <v>5</v>
      </c>
      <c r="G7" s="24" t="s">
        <v>261</v>
      </c>
      <c r="H7" s="24">
        <v>4</v>
      </c>
    </row>
    <row r="8" spans="1:12" x14ac:dyDescent="0.35">
      <c r="A8" s="25" t="s">
        <v>305</v>
      </c>
      <c r="B8" t="s">
        <v>255</v>
      </c>
      <c r="C8" s="25" t="s">
        <v>263</v>
      </c>
      <c r="D8" s="25" t="s">
        <v>397</v>
      </c>
      <c r="E8" s="25">
        <v>1</v>
      </c>
      <c r="F8" s="25">
        <v>5</v>
      </c>
      <c r="G8" s="24" t="s">
        <v>261</v>
      </c>
      <c r="H8" s="24">
        <v>4</v>
      </c>
    </row>
    <row r="9" spans="1:12" x14ac:dyDescent="0.35">
      <c r="A9" s="25" t="s">
        <v>305</v>
      </c>
      <c r="B9" t="s">
        <v>255</v>
      </c>
      <c r="C9" s="25" t="s">
        <v>264</v>
      </c>
      <c r="D9" s="25" t="s">
        <v>398</v>
      </c>
      <c r="E9" s="25">
        <v>1</v>
      </c>
      <c r="F9" s="25">
        <v>5</v>
      </c>
      <c r="G9" s="24" t="s">
        <v>261</v>
      </c>
      <c r="H9" s="24">
        <v>4</v>
      </c>
    </row>
    <row r="10" spans="1:12" x14ac:dyDescent="0.35">
      <c r="A10" s="25" t="s">
        <v>305</v>
      </c>
      <c r="B10" t="s">
        <v>255</v>
      </c>
      <c r="C10" s="25" t="s">
        <v>265</v>
      </c>
      <c r="D10" s="25" t="s">
        <v>399</v>
      </c>
      <c r="E10" s="25">
        <v>1</v>
      </c>
      <c r="F10" s="25">
        <v>5</v>
      </c>
      <c r="G10" s="24" t="s">
        <v>261</v>
      </c>
      <c r="H10" s="24">
        <v>4</v>
      </c>
    </row>
    <row r="11" spans="1:12" x14ac:dyDescent="0.35">
      <c r="A11" s="25" t="s">
        <v>305</v>
      </c>
      <c r="B11" t="s">
        <v>255</v>
      </c>
      <c r="C11" s="25" t="s">
        <v>266</v>
      </c>
      <c r="D11" s="25" t="s">
        <v>400</v>
      </c>
      <c r="E11" s="25">
        <v>1</v>
      </c>
      <c r="F11" s="25">
        <v>5</v>
      </c>
      <c r="G11" s="24" t="s">
        <v>261</v>
      </c>
      <c r="H11" s="24">
        <v>4</v>
      </c>
    </row>
    <row r="12" spans="1:12" x14ac:dyDescent="0.35">
      <c r="A12" s="25" t="s">
        <v>305</v>
      </c>
      <c r="B12" t="s">
        <v>255</v>
      </c>
      <c r="C12" s="25" t="s">
        <v>267</v>
      </c>
      <c r="D12" s="25" t="s">
        <v>401</v>
      </c>
      <c r="E12" s="25">
        <v>1</v>
      </c>
      <c r="F12" s="25">
        <v>5</v>
      </c>
      <c r="G12" s="24" t="s">
        <v>261</v>
      </c>
      <c r="H12" s="24">
        <v>4</v>
      </c>
    </row>
    <row r="13" spans="1:12" x14ac:dyDescent="0.35">
      <c r="A13" s="25" t="s">
        <v>305</v>
      </c>
      <c r="B13" t="s">
        <v>255</v>
      </c>
      <c r="C13" s="25" t="s">
        <v>268</v>
      </c>
      <c r="D13" s="25" t="s">
        <v>402</v>
      </c>
      <c r="E13" s="25">
        <v>1</v>
      </c>
      <c r="F13" s="25">
        <v>5</v>
      </c>
      <c r="G13" s="24" t="s">
        <v>261</v>
      </c>
      <c r="H13" s="24">
        <v>4</v>
      </c>
    </row>
    <row r="14" spans="1:12" x14ac:dyDescent="0.35">
      <c r="A14" s="25" t="s">
        <v>305</v>
      </c>
      <c r="B14" t="s">
        <v>255</v>
      </c>
      <c r="C14" s="25" t="s">
        <v>269</v>
      </c>
      <c r="D14" s="25" t="s">
        <v>402</v>
      </c>
      <c r="E14" s="25">
        <v>1</v>
      </c>
      <c r="F14" s="25">
        <v>5</v>
      </c>
      <c r="G14" s="24" t="s">
        <v>261</v>
      </c>
      <c r="H14" s="24">
        <v>4</v>
      </c>
    </row>
    <row r="15" spans="1:12" x14ac:dyDescent="0.35">
      <c r="A15" s="25" t="s">
        <v>305</v>
      </c>
      <c r="B15" t="s">
        <v>255</v>
      </c>
      <c r="C15" s="25" t="s">
        <v>426</v>
      </c>
      <c r="D15" s="25" t="s">
        <v>403</v>
      </c>
      <c r="E15" s="25">
        <v>1</v>
      </c>
      <c r="F15" s="25">
        <v>5</v>
      </c>
      <c r="G15" s="24" t="s">
        <v>261</v>
      </c>
      <c r="H15" s="24">
        <v>4</v>
      </c>
    </row>
    <row r="16" spans="1:12" x14ac:dyDescent="0.35">
      <c r="A16" s="25" t="s">
        <v>305</v>
      </c>
      <c r="B16" t="s">
        <v>255</v>
      </c>
      <c r="C16" s="25" t="s">
        <v>270</v>
      </c>
      <c r="D16" s="25" t="s">
        <v>404</v>
      </c>
      <c r="E16" s="25">
        <v>1</v>
      </c>
      <c r="F16" s="25">
        <v>5</v>
      </c>
      <c r="G16" s="24" t="s">
        <v>261</v>
      </c>
      <c r="H16" s="24">
        <v>4</v>
      </c>
    </row>
    <row r="17" spans="1:8" x14ac:dyDescent="0.35">
      <c r="A17" s="25" t="s">
        <v>305</v>
      </c>
      <c r="B17" t="s">
        <v>255</v>
      </c>
      <c r="C17" s="25" t="s">
        <v>271</v>
      </c>
      <c r="D17" s="25" t="s">
        <v>405</v>
      </c>
      <c r="E17" s="25">
        <v>1</v>
      </c>
      <c r="F17" s="25">
        <v>5</v>
      </c>
      <c r="G17" s="24" t="s">
        <v>261</v>
      </c>
      <c r="H17" s="24">
        <v>4</v>
      </c>
    </row>
    <row r="18" spans="1:8" x14ac:dyDescent="0.35">
      <c r="A18" s="25" t="s">
        <v>305</v>
      </c>
      <c r="B18" t="s">
        <v>255</v>
      </c>
      <c r="C18" s="25" t="s">
        <v>272</v>
      </c>
      <c r="D18" s="25" t="s">
        <v>406</v>
      </c>
      <c r="E18" s="25">
        <v>1</v>
      </c>
      <c r="F18" s="25">
        <v>5</v>
      </c>
      <c r="G18" s="24" t="s">
        <v>261</v>
      </c>
      <c r="H18" s="24">
        <v>4</v>
      </c>
    </row>
    <row r="19" spans="1:8" x14ac:dyDescent="0.35">
      <c r="A19" s="25" t="s">
        <v>305</v>
      </c>
      <c r="B19" t="s">
        <v>255</v>
      </c>
      <c r="C19" s="25" t="s">
        <v>273</v>
      </c>
      <c r="D19" s="25" t="s">
        <v>407</v>
      </c>
      <c r="E19" s="25">
        <v>1</v>
      </c>
      <c r="F19" s="25">
        <v>5</v>
      </c>
      <c r="G19" s="24" t="s">
        <v>261</v>
      </c>
      <c r="H19" s="24">
        <v>4</v>
      </c>
    </row>
    <row r="20" spans="1:8" x14ac:dyDescent="0.35">
      <c r="A20" s="25" t="s">
        <v>305</v>
      </c>
      <c r="B20" t="s">
        <v>255</v>
      </c>
      <c r="C20" s="25" t="s">
        <v>274</v>
      </c>
      <c r="D20" s="25" t="s">
        <v>349</v>
      </c>
      <c r="E20" s="25">
        <v>1</v>
      </c>
      <c r="F20" s="25">
        <v>5</v>
      </c>
      <c r="G20" s="24" t="s">
        <v>261</v>
      </c>
      <c r="H20" s="24">
        <v>4</v>
      </c>
    </row>
  </sheetData>
  <sheetProtection sheet="1" objects="1" scenarios="1" selectLockedCells="1" selectUnlockedCells="1"/>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tabColor rgb="FFB381D9"/>
  </sheetPr>
  <dimension ref="A1:G36"/>
  <sheetViews>
    <sheetView workbookViewId="0">
      <selection activeCell="AA5" sqref="AA5:AE5"/>
    </sheetView>
  </sheetViews>
  <sheetFormatPr defaultRowHeight="14.5" x14ac:dyDescent="0.35"/>
  <cols>
    <col min="2" max="2" width="10.26953125" customWidth="1"/>
    <col min="4" max="4" width="9.453125" customWidth="1"/>
    <col min="6" max="6" width="10.54296875" customWidth="1"/>
    <col min="7" max="7" width="73.54296875" customWidth="1"/>
  </cols>
  <sheetData>
    <row r="1" spans="1:7" ht="36" customHeight="1" x14ac:dyDescent="0.35">
      <c r="A1" s="87" t="s">
        <v>304</v>
      </c>
      <c r="B1" s="87" t="s">
        <v>307</v>
      </c>
      <c r="C1" s="87" t="s">
        <v>295</v>
      </c>
      <c r="D1" s="87" t="s">
        <v>296</v>
      </c>
      <c r="E1" s="87" t="s">
        <v>297</v>
      </c>
      <c r="F1" s="87" t="s">
        <v>298</v>
      </c>
      <c r="G1" s="474" t="s">
        <v>598</v>
      </c>
    </row>
    <row r="2" spans="1:7" x14ac:dyDescent="0.35">
      <c r="A2" s="24" t="s">
        <v>416</v>
      </c>
      <c r="B2" s="89" t="s">
        <v>255</v>
      </c>
      <c r="C2" s="90" t="s">
        <v>302</v>
      </c>
      <c r="D2" s="90" t="s">
        <v>343</v>
      </c>
      <c r="E2" s="90">
        <v>3</v>
      </c>
      <c r="F2" s="90">
        <v>5</v>
      </c>
      <c r="G2" s="91" t="s">
        <v>344</v>
      </c>
    </row>
    <row r="3" spans="1:7" x14ac:dyDescent="0.35">
      <c r="A3" s="24" t="s">
        <v>416</v>
      </c>
      <c r="B3" s="89" t="s">
        <v>255</v>
      </c>
      <c r="C3" s="90" t="s">
        <v>346</v>
      </c>
      <c r="D3" s="90" t="s">
        <v>347</v>
      </c>
      <c r="E3" s="90">
        <v>3</v>
      </c>
      <c r="F3" s="90">
        <v>5</v>
      </c>
      <c r="G3" s="91" t="s">
        <v>345</v>
      </c>
    </row>
    <row r="4" spans="1:7" x14ac:dyDescent="0.35">
      <c r="A4" s="24" t="s">
        <v>416</v>
      </c>
      <c r="B4" s="122" t="s">
        <v>255</v>
      </c>
      <c r="C4" s="123" t="s">
        <v>318</v>
      </c>
      <c r="D4" s="123" t="s">
        <v>349</v>
      </c>
      <c r="E4" s="123">
        <v>1</v>
      </c>
      <c r="F4" s="123">
        <v>5</v>
      </c>
      <c r="G4" s="124" t="s">
        <v>348</v>
      </c>
    </row>
    <row r="5" spans="1:7" x14ac:dyDescent="0.35">
      <c r="A5" s="24" t="s">
        <v>416</v>
      </c>
      <c r="B5" s="89" t="s">
        <v>255</v>
      </c>
      <c r="C5" s="90" t="s">
        <v>350</v>
      </c>
      <c r="D5" s="90" t="s">
        <v>350</v>
      </c>
      <c r="E5" s="90">
        <v>999</v>
      </c>
      <c r="F5" s="90">
        <v>999</v>
      </c>
      <c r="G5" s="91" t="s">
        <v>280</v>
      </c>
    </row>
    <row r="6" spans="1:7" x14ac:dyDescent="0.35">
      <c r="A6" s="24" t="s">
        <v>416</v>
      </c>
      <c r="B6" s="89" t="s">
        <v>255</v>
      </c>
      <c r="C6" s="90" t="s">
        <v>351</v>
      </c>
      <c r="D6" s="90" t="s">
        <v>352</v>
      </c>
      <c r="E6" s="90">
        <v>1</v>
      </c>
      <c r="F6" s="90">
        <v>999</v>
      </c>
      <c r="G6" s="91" t="s">
        <v>280</v>
      </c>
    </row>
    <row r="7" spans="1:7" x14ac:dyDescent="0.35">
      <c r="A7" s="24" t="s">
        <v>416</v>
      </c>
      <c r="B7" s="89" t="s">
        <v>255</v>
      </c>
      <c r="C7" s="90" t="s">
        <v>410</v>
      </c>
      <c r="D7" s="90" t="s">
        <v>411</v>
      </c>
      <c r="E7" s="90">
        <v>1</v>
      </c>
      <c r="F7" s="90">
        <v>999</v>
      </c>
      <c r="G7" s="91" t="s">
        <v>280</v>
      </c>
    </row>
    <row r="8" spans="1:7" x14ac:dyDescent="0.35">
      <c r="A8" s="24" t="s">
        <v>416</v>
      </c>
      <c r="B8" s="89" t="s">
        <v>255</v>
      </c>
      <c r="C8" s="90" t="s">
        <v>353</v>
      </c>
      <c r="D8" s="90" t="s">
        <v>354</v>
      </c>
      <c r="E8" s="90">
        <v>1</v>
      </c>
      <c r="F8" s="90">
        <v>999</v>
      </c>
      <c r="G8" s="91" t="s">
        <v>280</v>
      </c>
    </row>
    <row r="9" spans="1:7" x14ac:dyDescent="0.35">
      <c r="A9" s="24" t="s">
        <v>416</v>
      </c>
      <c r="B9" s="89" t="s">
        <v>255</v>
      </c>
      <c r="C9" s="90" t="s">
        <v>355</v>
      </c>
      <c r="D9" s="90" t="s">
        <v>356</v>
      </c>
      <c r="E9" s="90">
        <v>1</v>
      </c>
      <c r="F9" s="90">
        <v>999</v>
      </c>
      <c r="G9" s="91" t="s">
        <v>280</v>
      </c>
    </row>
    <row r="10" spans="1:7" x14ac:dyDescent="0.35">
      <c r="A10" s="24" t="s">
        <v>416</v>
      </c>
      <c r="B10" s="89" t="s">
        <v>255</v>
      </c>
      <c r="C10" s="90" t="s">
        <v>357</v>
      </c>
      <c r="D10" s="90" t="s">
        <v>358</v>
      </c>
      <c r="E10" s="90">
        <v>1</v>
      </c>
      <c r="F10" s="90">
        <v>999</v>
      </c>
      <c r="G10" s="91" t="s">
        <v>280</v>
      </c>
    </row>
    <row r="11" spans="1:7" x14ac:dyDescent="0.35">
      <c r="A11" s="24" t="s">
        <v>416</v>
      </c>
      <c r="B11" s="89" t="s">
        <v>255</v>
      </c>
      <c r="C11" s="90" t="s">
        <v>359</v>
      </c>
      <c r="D11" s="90" t="s">
        <v>360</v>
      </c>
      <c r="E11" s="90">
        <v>1</v>
      </c>
      <c r="F11" s="90">
        <v>999</v>
      </c>
      <c r="G11" s="91" t="s">
        <v>280</v>
      </c>
    </row>
    <row r="12" spans="1:7" x14ac:dyDescent="0.35">
      <c r="A12" s="24" t="s">
        <v>416</v>
      </c>
      <c r="B12" s="89" t="s">
        <v>255</v>
      </c>
      <c r="C12" s="90" t="s">
        <v>361</v>
      </c>
      <c r="D12" s="90" t="s">
        <v>362</v>
      </c>
      <c r="E12" s="90">
        <v>1</v>
      </c>
      <c r="F12" s="90">
        <v>999</v>
      </c>
      <c r="G12" s="91" t="s">
        <v>280</v>
      </c>
    </row>
    <row r="13" spans="1:7" x14ac:dyDescent="0.35">
      <c r="A13" s="24" t="s">
        <v>416</v>
      </c>
      <c r="B13" s="89" t="s">
        <v>255</v>
      </c>
      <c r="C13" s="90" t="s">
        <v>363</v>
      </c>
      <c r="D13" s="90" t="s">
        <v>364</v>
      </c>
      <c r="E13" s="90">
        <v>1</v>
      </c>
      <c r="F13" s="90">
        <v>999</v>
      </c>
      <c r="G13" s="91" t="s">
        <v>280</v>
      </c>
    </row>
    <row r="14" spans="1:7" x14ac:dyDescent="0.35">
      <c r="A14" s="24" t="s">
        <v>416</v>
      </c>
      <c r="B14" s="89" t="s">
        <v>255</v>
      </c>
      <c r="C14" s="90" t="s">
        <v>365</v>
      </c>
      <c r="D14" s="90" t="s">
        <v>366</v>
      </c>
      <c r="E14" s="90">
        <v>1</v>
      </c>
      <c r="F14" s="90">
        <v>999</v>
      </c>
      <c r="G14" s="91" t="s">
        <v>280</v>
      </c>
    </row>
    <row r="15" spans="1:7" x14ac:dyDescent="0.35">
      <c r="A15" s="24" t="s">
        <v>416</v>
      </c>
      <c r="B15" s="89" t="s">
        <v>255</v>
      </c>
      <c r="C15" s="90" t="s">
        <v>367</v>
      </c>
      <c r="D15" s="90" t="s">
        <v>368</v>
      </c>
      <c r="E15" s="90">
        <v>1</v>
      </c>
      <c r="F15" s="90">
        <v>999</v>
      </c>
      <c r="G15" s="91" t="s">
        <v>280</v>
      </c>
    </row>
    <row r="16" spans="1:7" x14ac:dyDescent="0.35">
      <c r="A16" s="24" t="s">
        <v>416</v>
      </c>
      <c r="B16" s="89" t="s">
        <v>255</v>
      </c>
      <c r="C16" s="90" t="s">
        <v>369</v>
      </c>
      <c r="D16" s="90" t="s">
        <v>370</v>
      </c>
      <c r="E16" s="90">
        <v>1</v>
      </c>
      <c r="F16" s="90">
        <v>999</v>
      </c>
      <c r="G16" s="91" t="s">
        <v>280</v>
      </c>
    </row>
    <row r="17" spans="1:7" x14ac:dyDescent="0.35">
      <c r="A17" s="24" t="s">
        <v>416</v>
      </c>
      <c r="B17" s="89" t="s">
        <v>255</v>
      </c>
      <c r="C17" s="90" t="s">
        <v>371</v>
      </c>
      <c r="D17" s="90" t="s">
        <v>372</v>
      </c>
      <c r="E17" s="90">
        <v>1</v>
      </c>
      <c r="F17" s="90">
        <v>999</v>
      </c>
      <c r="G17" s="91" t="s">
        <v>280</v>
      </c>
    </row>
    <row r="18" spans="1:7" x14ac:dyDescent="0.35">
      <c r="A18" s="24" t="s">
        <v>416</v>
      </c>
      <c r="B18" s="89" t="s">
        <v>255</v>
      </c>
      <c r="C18" s="90" t="s">
        <v>373</v>
      </c>
      <c r="D18" s="90" t="s">
        <v>374</v>
      </c>
      <c r="E18" s="90">
        <v>1</v>
      </c>
      <c r="F18" s="90">
        <v>999</v>
      </c>
      <c r="G18" s="91" t="s">
        <v>280</v>
      </c>
    </row>
    <row r="19" spans="1:7" x14ac:dyDescent="0.35">
      <c r="A19" s="24" t="s">
        <v>416</v>
      </c>
      <c r="B19" s="89" t="s">
        <v>255</v>
      </c>
      <c r="C19" s="90" t="s">
        <v>375</v>
      </c>
      <c r="D19" s="90" t="s">
        <v>376</v>
      </c>
      <c r="E19" s="90">
        <v>1</v>
      </c>
      <c r="F19" s="90">
        <v>999</v>
      </c>
      <c r="G19" s="91" t="s">
        <v>280</v>
      </c>
    </row>
    <row r="20" spans="1:7" x14ac:dyDescent="0.35">
      <c r="A20" s="24" t="s">
        <v>416</v>
      </c>
      <c r="B20" s="89" t="s">
        <v>255</v>
      </c>
      <c r="C20" s="90" t="s">
        <v>377</v>
      </c>
      <c r="D20" s="90" t="s">
        <v>378</v>
      </c>
      <c r="E20" s="90">
        <v>1</v>
      </c>
      <c r="F20" s="90">
        <v>999</v>
      </c>
      <c r="G20" s="91" t="s">
        <v>280</v>
      </c>
    </row>
    <row r="21" spans="1:7" x14ac:dyDescent="0.35">
      <c r="A21" s="24" t="s">
        <v>416</v>
      </c>
      <c r="B21" s="122" t="s">
        <v>255</v>
      </c>
      <c r="C21" s="123" t="s">
        <v>379</v>
      </c>
      <c r="D21" s="123" t="s">
        <v>394</v>
      </c>
      <c r="E21" s="123">
        <v>999</v>
      </c>
      <c r="F21" s="123">
        <v>5</v>
      </c>
      <c r="G21" s="124" t="s">
        <v>409</v>
      </c>
    </row>
    <row r="22" spans="1:7" x14ac:dyDescent="0.35">
      <c r="A22" s="24" t="s">
        <v>416</v>
      </c>
      <c r="B22" s="122" t="s">
        <v>255</v>
      </c>
      <c r="C22" s="123" t="s">
        <v>380</v>
      </c>
      <c r="D22" s="123" t="s">
        <v>395</v>
      </c>
      <c r="E22" s="123">
        <v>1</v>
      </c>
      <c r="F22" s="123">
        <v>5</v>
      </c>
      <c r="G22" s="124" t="s">
        <v>409</v>
      </c>
    </row>
    <row r="23" spans="1:7" x14ac:dyDescent="0.35">
      <c r="A23" s="24" t="s">
        <v>416</v>
      </c>
      <c r="B23" s="122" t="s">
        <v>255</v>
      </c>
      <c r="C23" s="123" t="s">
        <v>412</v>
      </c>
      <c r="D23" s="123" t="s">
        <v>413</v>
      </c>
      <c r="E23" s="123">
        <v>1</v>
      </c>
      <c r="F23" s="123">
        <v>5</v>
      </c>
      <c r="G23" s="124" t="s">
        <v>409</v>
      </c>
    </row>
    <row r="24" spans="1:7" x14ac:dyDescent="0.35">
      <c r="A24" s="24" t="s">
        <v>416</v>
      </c>
      <c r="B24" s="122" t="s">
        <v>255</v>
      </c>
      <c r="C24" s="123" t="s">
        <v>381</v>
      </c>
      <c r="D24" s="123" t="s">
        <v>396</v>
      </c>
      <c r="E24" s="123">
        <v>1</v>
      </c>
      <c r="F24" s="123">
        <v>5</v>
      </c>
      <c r="G24" s="124" t="s">
        <v>409</v>
      </c>
    </row>
    <row r="25" spans="1:7" x14ac:dyDescent="0.35">
      <c r="A25" s="24" t="s">
        <v>416</v>
      </c>
      <c r="B25" s="122" t="s">
        <v>255</v>
      </c>
      <c r="C25" s="123" t="s">
        <v>382</v>
      </c>
      <c r="D25" s="123" t="s">
        <v>397</v>
      </c>
      <c r="E25" s="123">
        <v>1</v>
      </c>
      <c r="F25" s="123">
        <v>5</v>
      </c>
      <c r="G25" s="124" t="s">
        <v>409</v>
      </c>
    </row>
    <row r="26" spans="1:7" x14ac:dyDescent="0.35">
      <c r="A26" s="24" t="s">
        <v>416</v>
      </c>
      <c r="B26" s="122" t="s">
        <v>255</v>
      </c>
      <c r="C26" s="123" t="s">
        <v>383</v>
      </c>
      <c r="D26" s="123" t="s">
        <v>398</v>
      </c>
      <c r="E26" s="123">
        <v>1</v>
      </c>
      <c r="F26" s="123">
        <v>5</v>
      </c>
      <c r="G26" s="124" t="s">
        <v>409</v>
      </c>
    </row>
    <row r="27" spans="1:7" x14ac:dyDescent="0.35">
      <c r="A27" s="24" t="s">
        <v>416</v>
      </c>
      <c r="B27" s="122" t="s">
        <v>255</v>
      </c>
      <c r="C27" s="123" t="s">
        <v>384</v>
      </c>
      <c r="D27" s="123" t="s">
        <v>399</v>
      </c>
      <c r="E27" s="123">
        <v>1</v>
      </c>
      <c r="F27" s="123">
        <v>5</v>
      </c>
      <c r="G27" s="124" t="s">
        <v>409</v>
      </c>
    </row>
    <row r="28" spans="1:7" x14ac:dyDescent="0.35">
      <c r="A28" s="24" t="s">
        <v>416</v>
      </c>
      <c r="B28" s="122" t="s">
        <v>255</v>
      </c>
      <c r="C28" s="123" t="s">
        <v>385</v>
      </c>
      <c r="D28" s="123" t="s">
        <v>400</v>
      </c>
      <c r="E28" s="123">
        <v>1</v>
      </c>
      <c r="F28" s="123">
        <v>5</v>
      </c>
      <c r="G28" s="124" t="s">
        <v>409</v>
      </c>
    </row>
    <row r="29" spans="1:7" x14ac:dyDescent="0.35">
      <c r="A29" s="24" t="s">
        <v>416</v>
      </c>
      <c r="B29" s="122" t="s">
        <v>255</v>
      </c>
      <c r="C29" s="123" t="s">
        <v>386</v>
      </c>
      <c r="D29" s="123" t="s">
        <v>401</v>
      </c>
      <c r="E29" s="123">
        <v>1</v>
      </c>
      <c r="F29" s="123">
        <v>5</v>
      </c>
      <c r="G29" s="124" t="s">
        <v>409</v>
      </c>
    </row>
    <row r="30" spans="1:7" x14ac:dyDescent="0.35">
      <c r="A30" s="24" t="s">
        <v>416</v>
      </c>
      <c r="B30" s="122" t="s">
        <v>255</v>
      </c>
      <c r="C30" s="123" t="s">
        <v>387</v>
      </c>
      <c r="D30" s="123" t="s">
        <v>402</v>
      </c>
      <c r="E30" s="123">
        <v>1</v>
      </c>
      <c r="F30" s="123">
        <v>5</v>
      </c>
      <c r="G30" s="124" t="s">
        <v>409</v>
      </c>
    </row>
    <row r="31" spans="1:7" x14ac:dyDescent="0.35">
      <c r="A31" s="24" t="s">
        <v>416</v>
      </c>
      <c r="B31" s="122" t="s">
        <v>255</v>
      </c>
      <c r="C31" s="123" t="s">
        <v>388</v>
      </c>
      <c r="D31" s="123" t="s">
        <v>403</v>
      </c>
      <c r="E31" s="123">
        <v>1</v>
      </c>
      <c r="F31" s="123">
        <v>5</v>
      </c>
      <c r="G31" s="124" t="s">
        <v>409</v>
      </c>
    </row>
    <row r="32" spans="1:7" x14ac:dyDescent="0.35">
      <c r="A32" s="24" t="s">
        <v>416</v>
      </c>
      <c r="B32" s="122" t="s">
        <v>255</v>
      </c>
      <c r="C32" s="123" t="s">
        <v>389</v>
      </c>
      <c r="D32" s="123" t="s">
        <v>404</v>
      </c>
      <c r="E32" s="123">
        <v>1</v>
      </c>
      <c r="F32" s="123">
        <v>5</v>
      </c>
      <c r="G32" s="124" t="s">
        <v>409</v>
      </c>
    </row>
    <row r="33" spans="1:7" x14ac:dyDescent="0.35">
      <c r="A33" s="24" t="s">
        <v>416</v>
      </c>
      <c r="B33" s="122" t="s">
        <v>255</v>
      </c>
      <c r="C33" s="123" t="s">
        <v>390</v>
      </c>
      <c r="D33" s="123" t="s">
        <v>405</v>
      </c>
      <c r="E33" s="123">
        <v>1</v>
      </c>
      <c r="F33" s="123">
        <v>5</v>
      </c>
      <c r="G33" s="124" t="s">
        <v>409</v>
      </c>
    </row>
    <row r="34" spans="1:7" x14ac:dyDescent="0.35">
      <c r="A34" s="24" t="s">
        <v>416</v>
      </c>
      <c r="B34" s="122" t="s">
        <v>255</v>
      </c>
      <c r="C34" s="123" t="s">
        <v>391</v>
      </c>
      <c r="D34" s="123" t="s">
        <v>406</v>
      </c>
      <c r="E34" s="123">
        <v>1</v>
      </c>
      <c r="F34" s="123">
        <v>5</v>
      </c>
      <c r="G34" s="124" t="s">
        <v>409</v>
      </c>
    </row>
    <row r="35" spans="1:7" x14ac:dyDescent="0.35">
      <c r="A35" s="24" t="s">
        <v>416</v>
      </c>
      <c r="B35" s="122" t="s">
        <v>255</v>
      </c>
      <c r="C35" s="123" t="s">
        <v>392</v>
      </c>
      <c r="D35" s="123" t="s">
        <v>407</v>
      </c>
      <c r="E35" s="123">
        <v>1</v>
      </c>
      <c r="F35" s="123">
        <v>5</v>
      </c>
      <c r="G35" s="124" t="s">
        <v>409</v>
      </c>
    </row>
    <row r="36" spans="1:7" x14ac:dyDescent="0.35">
      <c r="A36" s="24" t="s">
        <v>416</v>
      </c>
      <c r="B36" s="122" t="s">
        <v>255</v>
      </c>
      <c r="C36" s="123" t="s">
        <v>393</v>
      </c>
      <c r="D36" s="123" t="s">
        <v>408</v>
      </c>
      <c r="E36" s="123">
        <v>1</v>
      </c>
      <c r="F36" s="123">
        <v>5</v>
      </c>
      <c r="G36" s="124" t="s">
        <v>409</v>
      </c>
    </row>
  </sheetData>
  <sheetProtection sheet="1" objects="1" scenarios="1" selectLockedCells="1" selectUnlockedCells="1"/>
  <pageMargins left="0.7" right="0.7" top="0.75" bottom="0.75" header="0.3" footer="0.3"/>
  <pageSetup paperSize="9"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tabColor rgb="FFB381D9"/>
  </sheetPr>
  <dimension ref="A1:F2"/>
  <sheetViews>
    <sheetView workbookViewId="0">
      <selection activeCell="AA5" sqref="AA5:AE5"/>
    </sheetView>
  </sheetViews>
  <sheetFormatPr defaultRowHeight="14.5" x14ac:dyDescent="0.35"/>
  <cols>
    <col min="2" max="2" width="11.453125" style="25" bestFit="1" customWidth="1"/>
    <col min="3" max="3" width="13.26953125" style="24" customWidth="1"/>
    <col min="4" max="4" width="15.7265625" style="24" bestFit="1" customWidth="1"/>
    <col min="5" max="5" width="8.81640625" style="24" bestFit="1" customWidth="1"/>
    <col min="6" max="6" width="11.81640625" style="24" bestFit="1" customWidth="1"/>
  </cols>
  <sheetData>
    <row r="1" spans="1:6" x14ac:dyDescent="0.35">
      <c r="A1" s="76" t="s">
        <v>304</v>
      </c>
      <c r="B1" s="77" t="s">
        <v>254</v>
      </c>
      <c r="C1" s="76" t="s">
        <v>256</v>
      </c>
      <c r="D1" s="76" t="s">
        <v>257</v>
      </c>
      <c r="E1" s="76" t="s">
        <v>258</v>
      </c>
      <c r="F1" s="76" t="s">
        <v>259</v>
      </c>
    </row>
    <row r="2" spans="1:6" x14ac:dyDescent="0.35">
      <c r="A2" s="25" t="s">
        <v>305</v>
      </c>
      <c r="B2" t="s">
        <v>255</v>
      </c>
      <c r="C2" s="24" t="s">
        <v>260</v>
      </c>
      <c r="D2" s="24" t="s">
        <v>349</v>
      </c>
      <c r="E2" s="24">
        <v>1</v>
      </c>
      <c r="F2" s="24">
        <v>5</v>
      </c>
    </row>
  </sheetData>
  <sheetProtection sheet="1" objects="1" scenarios="1" selectLockedCells="1" selectUnlockedCells="1"/>
  <pageMargins left="0.7" right="0.7" top="0.75" bottom="0.75" header="0.3" footer="0.3"/>
  <pageSetup paperSize="9"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0">
    <tabColor rgb="FFB381D9"/>
  </sheetPr>
  <dimension ref="A1:H5"/>
  <sheetViews>
    <sheetView workbookViewId="0">
      <selection activeCell="G24" sqref="G24"/>
    </sheetView>
  </sheetViews>
  <sheetFormatPr defaultColWidth="9.1796875" defaultRowHeight="12.5" x14ac:dyDescent="0.25"/>
  <cols>
    <col min="1" max="1" width="9.1796875" style="340"/>
    <col min="2" max="2" width="15.26953125" style="340" bestFit="1" customWidth="1"/>
    <col min="3" max="3" width="9.1796875" style="340"/>
    <col min="4" max="4" width="12.26953125" style="340" customWidth="1"/>
    <col min="5" max="5" width="9.81640625" style="340" customWidth="1"/>
    <col min="6" max="6" width="9.1796875" style="340"/>
    <col min="7" max="7" width="17.81640625" style="340" customWidth="1"/>
    <col min="8" max="8" width="77" style="340" customWidth="1"/>
    <col min="9" max="16384" width="9.1796875" style="340"/>
  </cols>
  <sheetData>
    <row r="1" spans="1:8" ht="24.65" customHeight="1" x14ac:dyDescent="0.25">
      <c r="A1" s="338" t="s">
        <v>304</v>
      </c>
      <c r="B1" s="338" t="s">
        <v>254</v>
      </c>
      <c r="C1" s="338" t="s">
        <v>256</v>
      </c>
      <c r="D1" s="338" t="s">
        <v>257</v>
      </c>
      <c r="E1" s="338" t="s">
        <v>258</v>
      </c>
      <c r="F1" s="338" t="s">
        <v>259</v>
      </c>
      <c r="G1" s="338" t="s">
        <v>541</v>
      </c>
      <c r="H1" s="339" t="s">
        <v>316</v>
      </c>
    </row>
    <row r="2" spans="1:8" ht="14.5" x14ac:dyDescent="0.35">
      <c r="A2" s="341" t="s">
        <v>542</v>
      </c>
      <c r="B2" s="341" t="s">
        <v>183</v>
      </c>
      <c r="C2" s="341" t="s">
        <v>543</v>
      </c>
      <c r="D2" s="341" t="s">
        <v>544</v>
      </c>
      <c r="E2" s="342">
        <v>1</v>
      </c>
      <c r="F2" s="342">
        <v>999</v>
      </c>
      <c r="G2" s="341" t="s">
        <v>545</v>
      </c>
      <c r="H2" s="343" t="s">
        <v>546</v>
      </c>
    </row>
    <row r="3" spans="1:8" ht="14.5" x14ac:dyDescent="0.35">
      <c r="A3" s="341" t="s">
        <v>542</v>
      </c>
      <c r="B3" s="341" t="s">
        <v>183</v>
      </c>
      <c r="C3" s="341" t="s">
        <v>543</v>
      </c>
      <c r="D3" s="341" t="s">
        <v>544</v>
      </c>
      <c r="E3" s="342">
        <v>1</v>
      </c>
      <c r="F3" s="342">
        <v>999</v>
      </c>
      <c r="G3" s="341" t="s">
        <v>547</v>
      </c>
      <c r="H3" s="343" t="s">
        <v>546</v>
      </c>
    </row>
    <row r="4" spans="1:8" ht="14.5" x14ac:dyDescent="0.35">
      <c r="A4" s="341" t="s">
        <v>542</v>
      </c>
      <c r="B4" s="341" t="s">
        <v>183</v>
      </c>
      <c r="C4" s="341" t="s">
        <v>543</v>
      </c>
      <c r="D4" s="341" t="s">
        <v>544</v>
      </c>
      <c r="E4" s="342">
        <v>1</v>
      </c>
      <c r="F4" s="342">
        <v>999</v>
      </c>
      <c r="G4" s="341" t="s">
        <v>548</v>
      </c>
      <c r="H4" s="343" t="s">
        <v>546</v>
      </c>
    </row>
    <row r="5" spans="1:8" ht="14.5" x14ac:dyDescent="0.35">
      <c r="A5" s="341" t="s">
        <v>542</v>
      </c>
      <c r="B5" s="341" t="s">
        <v>183</v>
      </c>
      <c r="C5" s="341" t="s">
        <v>543</v>
      </c>
      <c r="D5" s="341" t="s">
        <v>544</v>
      </c>
      <c r="E5" s="342">
        <v>1</v>
      </c>
      <c r="F5" s="342">
        <v>999</v>
      </c>
      <c r="G5" s="341" t="s">
        <v>549</v>
      </c>
      <c r="H5" s="343" t="s">
        <v>546</v>
      </c>
    </row>
  </sheetData>
  <sheetProtection sheet="1" objects="1" scenarios="1" selectLockedCells="1" selectUnlockedCells="1"/>
  <pageMargins left="0.7" right="0.7" top="0.75" bottom="0.75" header="0.3" footer="0.3"/>
  <pageSetup paperSize="9"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2">
    <tabColor rgb="FFB381D9"/>
  </sheetPr>
  <dimension ref="A1:G2"/>
  <sheetViews>
    <sheetView workbookViewId="0">
      <selection activeCell="AA5" sqref="AA5:AE5"/>
    </sheetView>
  </sheetViews>
  <sheetFormatPr defaultRowHeight="14.5" x14ac:dyDescent="0.35"/>
  <cols>
    <col min="2" max="2" width="11.453125" style="24" bestFit="1" customWidth="1"/>
    <col min="3" max="3" width="11.1796875" style="24" bestFit="1" customWidth="1"/>
    <col min="4" max="4" width="15.7265625" style="24" bestFit="1" customWidth="1"/>
    <col min="5" max="5" width="8.81640625" style="24" bestFit="1" customWidth="1"/>
    <col min="6" max="6" width="11.81640625" style="24" bestFit="1" customWidth="1"/>
    <col min="7" max="7" width="28.81640625" style="24" bestFit="1" customWidth="1"/>
  </cols>
  <sheetData>
    <row r="1" spans="1:7" x14ac:dyDescent="0.35">
      <c r="A1" s="76" t="s">
        <v>304</v>
      </c>
      <c r="B1" s="76" t="s">
        <v>254</v>
      </c>
      <c r="C1" s="76" t="s">
        <v>256</v>
      </c>
      <c r="D1" s="76" t="s">
        <v>257</v>
      </c>
      <c r="E1" s="76" t="s">
        <v>258</v>
      </c>
      <c r="F1" s="76" t="s">
        <v>259</v>
      </c>
      <c r="G1" s="76" t="s">
        <v>275</v>
      </c>
    </row>
    <row r="2" spans="1:7" x14ac:dyDescent="0.35">
      <c r="A2" t="s">
        <v>305</v>
      </c>
      <c r="B2" s="24" t="s">
        <v>255</v>
      </c>
      <c r="C2" s="24" t="s">
        <v>276</v>
      </c>
      <c r="D2" s="24" t="s">
        <v>415</v>
      </c>
      <c r="E2" s="24">
        <v>1</v>
      </c>
      <c r="F2" s="24">
        <v>5</v>
      </c>
      <c r="G2" s="24">
        <v>1</v>
      </c>
    </row>
  </sheetData>
  <sheetProtection sheet="1" objects="1" scenarios="1" selectLockedCells="1" selectUnlockedCells="1"/>
  <pageMargins left="0.7" right="0.7" top="0.75" bottom="0.75" header="0.3" footer="0.3"/>
  <pageSetup paperSize="9"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tabColor rgb="FFB381D9"/>
  </sheetPr>
  <dimension ref="A1:F2"/>
  <sheetViews>
    <sheetView workbookViewId="0">
      <selection activeCell="AA5" sqref="AA5:AE5"/>
    </sheetView>
  </sheetViews>
  <sheetFormatPr defaultRowHeight="14.5" x14ac:dyDescent="0.35"/>
  <cols>
    <col min="2" max="2" width="10.453125" bestFit="1" customWidth="1"/>
    <col min="3" max="3" width="10.1796875" bestFit="1" customWidth="1"/>
    <col min="4" max="4" width="14.54296875" bestFit="1" customWidth="1"/>
    <col min="5" max="5" width="8.1796875" bestFit="1" customWidth="1"/>
    <col min="6" max="6" width="11" bestFit="1" customWidth="1"/>
  </cols>
  <sheetData>
    <row r="1" spans="1:6" x14ac:dyDescent="0.35">
      <c r="A1" s="76" t="s">
        <v>304</v>
      </c>
      <c r="B1" s="77" t="s">
        <v>254</v>
      </c>
      <c r="C1" s="76" t="s">
        <v>256</v>
      </c>
      <c r="D1" s="76" t="s">
        <v>257</v>
      </c>
      <c r="E1" s="76" t="s">
        <v>258</v>
      </c>
      <c r="F1" s="76" t="s">
        <v>259</v>
      </c>
    </row>
    <row r="2" spans="1:6" x14ac:dyDescent="0.35">
      <c r="A2" s="24" t="s">
        <v>305</v>
      </c>
      <c r="B2" t="s">
        <v>255</v>
      </c>
      <c r="C2" s="24" t="s">
        <v>260</v>
      </c>
      <c r="D2" s="24" t="s">
        <v>349</v>
      </c>
      <c r="E2" s="24">
        <v>1</v>
      </c>
      <c r="F2" s="24">
        <v>5</v>
      </c>
    </row>
  </sheetData>
  <sheetProtection sheet="1" objects="1" scenarios="1" selectLockedCells="1" selectUnlockedCells="1"/>
  <pageMargins left="0.7" right="0.7" top="0.75" bottom="0.75" header="0.3" footer="0.3"/>
  <pageSetup paperSize="9"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
    <tabColor rgb="FFFFC000"/>
  </sheetPr>
  <dimension ref="B1:AY136"/>
  <sheetViews>
    <sheetView showGridLines="0" zoomScaleNormal="100" workbookViewId="0">
      <pane xSplit="6" ySplit="7" topLeftCell="G8" activePane="bottomRight" state="frozen"/>
      <selection activeCell="AA5" sqref="AA5:AE5"/>
      <selection pane="topRight" activeCell="AA5" sqref="AA5:AE5"/>
      <selection pane="bottomLeft" activeCell="AA5" sqref="AA5:AE5"/>
      <selection pane="bottomRight" activeCell="G8" sqref="G8"/>
    </sheetView>
  </sheetViews>
  <sheetFormatPr defaultColWidth="9.1796875" defaultRowHeight="14.5" x14ac:dyDescent="0.35"/>
  <cols>
    <col min="1" max="1" width="4.7265625" style="40" customWidth="1"/>
    <col min="2" max="2" width="18" style="40" customWidth="1"/>
    <col min="3" max="3" width="18.1796875" style="40" hidden="1" customWidth="1"/>
    <col min="4" max="4" width="44" style="40" customWidth="1"/>
    <col min="5" max="5" width="12.453125" style="40" hidden="1" customWidth="1"/>
    <col min="6" max="6" width="17.453125" style="40" customWidth="1"/>
    <col min="7" max="7" width="15.54296875" style="56" customWidth="1"/>
    <col min="8" max="10" width="3.54296875" style="57" customWidth="1"/>
    <col min="11" max="11" width="10.54296875" style="40" customWidth="1"/>
    <col min="12" max="12" width="15.81640625" style="40" customWidth="1"/>
    <col min="13" max="15" width="3.54296875" style="40" customWidth="1"/>
    <col min="16" max="16" width="10.54296875" style="40" customWidth="1"/>
    <col min="17" max="17" width="15.7265625" style="40" customWidth="1"/>
    <col min="18" max="20" width="3.54296875" style="40" customWidth="1"/>
    <col min="21" max="21" width="10.54296875" style="40" customWidth="1"/>
    <col min="22" max="22" width="15.7265625" style="40" customWidth="1"/>
    <col min="23" max="25" width="3.54296875" style="40" customWidth="1"/>
    <col min="26" max="26" width="10.54296875" style="40" customWidth="1"/>
    <col min="27" max="27" width="15.7265625" style="40" customWidth="1"/>
    <col min="28" max="30" width="3.54296875" style="40" customWidth="1"/>
    <col min="31" max="31" width="10.54296875" style="40" customWidth="1"/>
    <col min="32" max="32" width="15.7265625" style="40" customWidth="1"/>
    <col min="33" max="35" width="3.54296875" style="40" customWidth="1"/>
    <col min="36" max="36" width="10.54296875" style="40" customWidth="1"/>
    <col min="37" max="37" width="15.7265625" style="40" customWidth="1"/>
    <col min="38" max="40" width="3.54296875" style="40" customWidth="1"/>
    <col min="41" max="41" width="10.54296875" style="40" customWidth="1"/>
    <col min="42" max="42" width="15.7265625" style="40" customWidth="1"/>
    <col min="43" max="45" width="3.54296875" style="40" customWidth="1"/>
    <col min="46" max="46" width="10.54296875" style="40" customWidth="1"/>
    <col min="47" max="47" width="15.7265625" style="40" customWidth="1"/>
    <col min="48" max="50" width="3.54296875" style="40" customWidth="1"/>
    <col min="51" max="51" width="10.54296875" style="40" customWidth="1"/>
    <col min="52" max="52" width="5.7265625" style="40" customWidth="1"/>
    <col min="53" max="53" width="15.7265625" style="40" customWidth="1"/>
    <col min="54" max="54" width="5.7265625" style="40" customWidth="1"/>
    <col min="55" max="55" width="15.7265625" style="40" customWidth="1"/>
    <col min="56" max="56" width="5.7265625" style="40" customWidth="1"/>
    <col min="57" max="57" width="15.7265625" style="40" customWidth="1"/>
    <col min="58" max="58" width="5.7265625" style="40" customWidth="1"/>
    <col min="59" max="59" width="15.7265625" style="40" customWidth="1"/>
    <col min="60" max="60" width="5.7265625" style="40" customWidth="1"/>
    <col min="61" max="61" width="15.7265625" style="40" customWidth="1"/>
    <col min="62" max="62" width="5.7265625" style="40" customWidth="1"/>
    <col min="63" max="63" width="15.7265625" style="40" customWidth="1"/>
    <col min="64" max="64" width="5.7265625" style="40" customWidth="1"/>
    <col min="65" max="65" width="15.7265625" style="40" customWidth="1"/>
    <col min="66" max="66" width="5.7265625" style="40" customWidth="1"/>
    <col min="67" max="67" width="15.7265625" style="40" customWidth="1"/>
    <col min="68" max="68" width="5.7265625" style="40" customWidth="1"/>
    <col min="69" max="69" width="15.7265625" style="40" customWidth="1"/>
    <col min="70" max="70" width="5.7265625" style="40" customWidth="1"/>
    <col min="71" max="71" width="15.7265625" style="40" customWidth="1"/>
    <col min="72" max="72" width="5.7265625" style="40" customWidth="1"/>
    <col min="73" max="73" width="15.7265625" style="40" customWidth="1"/>
    <col min="74" max="74" width="5.7265625" style="40" customWidth="1"/>
    <col min="75" max="75" width="15.7265625" style="40" customWidth="1"/>
    <col min="76" max="76" width="5.7265625" style="40" customWidth="1"/>
    <col min="77" max="77" width="15.7265625" style="40" customWidth="1"/>
    <col min="78" max="78" width="5.7265625" style="40" customWidth="1"/>
    <col min="79" max="16384" width="9.1796875" style="40"/>
  </cols>
  <sheetData>
    <row r="1" spans="2:51" s="28" customFormat="1" ht="14" x14ac:dyDescent="0.3">
      <c r="G1" s="29"/>
      <c r="H1" s="30"/>
      <c r="I1" s="30"/>
      <c r="J1" s="30"/>
    </row>
    <row r="2" spans="2:51" s="28" customFormat="1" thickBot="1" x14ac:dyDescent="0.35">
      <c r="G2" s="29"/>
      <c r="H2" s="30"/>
      <c r="I2" s="30"/>
      <c r="J2" s="30"/>
    </row>
    <row r="3" spans="2:51" s="28" customFormat="1" ht="21" thickBot="1" x14ac:dyDescent="0.5">
      <c r="B3" s="31" t="s">
        <v>1</v>
      </c>
      <c r="C3" s="32"/>
      <c r="D3" s="33" t="str">
        <f>IF('GETTING STARTED'!E9="","",'GETTING STARTED'!E9)</f>
        <v/>
      </c>
      <c r="E3" s="34"/>
      <c r="F3" s="75" t="str">
        <f>IF('GETTING STARTED'!G9="","",'GETTING STARTED'!G9)</f>
        <v/>
      </c>
      <c r="G3" s="29"/>
      <c r="H3" s="30"/>
      <c r="I3" s="30"/>
      <c r="J3" s="30"/>
    </row>
    <row r="4" spans="2:51" s="28" customFormat="1" ht="20.5" thickBot="1" x14ac:dyDescent="0.35">
      <c r="B4" s="31" t="s">
        <v>228</v>
      </c>
      <c r="C4" s="32"/>
      <c r="D4" s="33">
        <f>IF('GETTING STARTED'!E10="","",'GETTING STARTED'!E10)</f>
        <v>2024</v>
      </c>
      <c r="E4" s="35"/>
      <c r="F4" s="120"/>
      <c r="G4" s="29"/>
      <c r="H4" s="30"/>
      <c r="I4" s="30"/>
      <c r="J4" s="30"/>
    </row>
    <row r="5" spans="2:51" ht="26.15" customHeight="1" thickBot="1" x14ac:dyDescent="0.4">
      <c r="B5" s="36" t="s">
        <v>229</v>
      </c>
      <c r="C5" s="37"/>
      <c r="D5" s="38" t="s">
        <v>230</v>
      </c>
      <c r="E5" s="39"/>
      <c r="F5" s="121"/>
      <c r="G5" s="523" t="s">
        <v>148</v>
      </c>
      <c r="H5" s="524"/>
      <c r="I5" s="524"/>
      <c r="J5" s="524"/>
      <c r="K5" s="525"/>
      <c r="L5" s="523" t="s">
        <v>153</v>
      </c>
      <c r="M5" s="524"/>
      <c r="N5" s="524"/>
      <c r="O5" s="524"/>
      <c r="P5" s="525"/>
      <c r="Q5" s="523" t="s">
        <v>154</v>
      </c>
      <c r="R5" s="524"/>
      <c r="S5" s="524"/>
      <c r="T5" s="524"/>
      <c r="U5" s="525"/>
      <c r="V5" s="523" t="s">
        <v>149</v>
      </c>
      <c r="W5" s="524"/>
      <c r="X5" s="524"/>
      <c r="Y5" s="524"/>
      <c r="Z5" s="525"/>
      <c r="AA5" s="523" t="s">
        <v>280</v>
      </c>
      <c r="AB5" s="524"/>
      <c r="AC5" s="524"/>
      <c r="AD5" s="524"/>
      <c r="AE5" s="525"/>
      <c r="AF5" s="523" t="s">
        <v>155</v>
      </c>
      <c r="AG5" s="524"/>
      <c r="AH5" s="524"/>
      <c r="AI5" s="524"/>
      <c r="AJ5" s="525"/>
      <c r="AK5" s="523" t="s">
        <v>156</v>
      </c>
      <c r="AL5" s="524"/>
      <c r="AM5" s="524"/>
      <c r="AN5" s="524"/>
      <c r="AO5" s="525"/>
      <c r="AP5" s="523" t="s">
        <v>282</v>
      </c>
      <c r="AQ5" s="524"/>
      <c r="AR5" s="524"/>
      <c r="AS5" s="524"/>
      <c r="AT5" s="525"/>
      <c r="AU5" s="523" t="s">
        <v>150</v>
      </c>
      <c r="AV5" s="524"/>
      <c r="AW5" s="524"/>
      <c r="AX5" s="524"/>
      <c r="AY5" s="525"/>
    </row>
    <row r="6" spans="2:51" s="143" customFormat="1" ht="58" hidden="1" customHeight="1" thickBot="1" x14ac:dyDescent="0.4">
      <c r="B6" s="144"/>
      <c r="C6" s="145"/>
      <c r="D6" s="146"/>
      <c r="E6" s="147"/>
      <c r="F6" s="148"/>
      <c r="G6" s="140" t="s">
        <v>148</v>
      </c>
      <c r="H6" s="141"/>
      <c r="I6" s="141"/>
      <c r="J6" s="141"/>
      <c r="K6" s="141"/>
      <c r="L6" s="141" t="s">
        <v>153</v>
      </c>
      <c r="M6" s="141"/>
      <c r="N6" s="141"/>
      <c r="O6" s="141"/>
      <c r="P6" s="141"/>
      <c r="Q6" s="141" t="s">
        <v>154</v>
      </c>
      <c r="R6" s="141"/>
      <c r="S6" s="141"/>
      <c r="T6" s="141"/>
      <c r="U6" s="141"/>
      <c r="V6" s="141" t="s">
        <v>149</v>
      </c>
      <c r="W6" s="141"/>
      <c r="X6" s="141"/>
      <c r="Y6" s="141"/>
      <c r="Z6" s="141"/>
      <c r="AA6" s="141" t="s">
        <v>280</v>
      </c>
      <c r="AB6" s="141"/>
      <c r="AC6" s="141"/>
      <c r="AD6" s="141"/>
      <c r="AE6" s="141"/>
      <c r="AF6" s="141" t="s">
        <v>155</v>
      </c>
      <c r="AG6" s="141"/>
      <c r="AH6" s="141"/>
      <c r="AI6" s="141"/>
      <c r="AJ6" s="141"/>
      <c r="AK6" s="141" t="s">
        <v>156</v>
      </c>
      <c r="AL6" s="141"/>
      <c r="AM6" s="141"/>
      <c r="AN6" s="141"/>
      <c r="AO6" s="141"/>
      <c r="AP6" s="141" t="s">
        <v>282</v>
      </c>
      <c r="AQ6" s="141"/>
      <c r="AR6" s="141"/>
      <c r="AS6" s="141"/>
      <c r="AT6" s="141"/>
      <c r="AU6" s="141" t="s">
        <v>150</v>
      </c>
      <c r="AV6" s="141"/>
      <c r="AW6" s="141"/>
      <c r="AX6" s="141"/>
      <c r="AY6" s="142"/>
    </row>
    <row r="7" spans="2:51" ht="100" thickBot="1" x14ac:dyDescent="0.4">
      <c r="B7" s="531" t="s">
        <v>294</v>
      </c>
      <c r="C7" s="532"/>
      <c r="D7" s="532"/>
      <c r="E7" s="532"/>
      <c r="F7" s="533"/>
      <c r="G7" s="386" t="s">
        <v>241</v>
      </c>
      <c r="H7" s="82" t="s">
        <v>231</v>
      </c>
      <c r="I7" s="82" t="s">
        <v>232</v>
      </c>
      <c r="J7" s="526" t="s">
        <v>279</v>
      </c>
      <c r="K7" s="527"/>
      <c r="L7" s="386" t="s">
        <v>167</v>
      </c>
      <c r="M7" s="82" t="s">
        <v>231</v>
      </c>
      <c r="N7" s="82" t="s">
        <v>232</v>
      </c>
      <c r="O7" s="526" t="s">
        <v>279</v>
      </c>
      <c r="P7" s="527"/>
      <c r="Q7" s="386" t="s">
        <v>239</v>
      </c>
      <c r="R7" s="82" t="s">
        <v>231</v>
      </c>
      <c r="S7" s="82" t="s">
        <v>232</v>
      </c>
      <c r="T7" s="526" t="s">
        <v>279</v>
      </c>
      <c r="U7" s="527"/>
      <c r="V7" s="386" t="s">
        <v>240</v>
      </c>
      <c r="W7" s="82" t="s">
        <v>231</v>
      </c>
      <c r="X7" s="82" t="s">
        <v>232</v>
      </c>
      <c r="Y7" s="526" t="s">
        <v>279</v>
      </c>
      <c r="Z7" s="527"/>
      <c r="AA7" s="386" t="s">
        <v>281</v>
      </c>
      <c r="AB7" s="82" t="s">
        <v>231</v>
      </c>
      <c r="AC7" s="82" t="s">
        <v>232</v>
      </c>
      <c r="AD7" s="526" t="s">
        <v>279</v>
      </c>
      <c r="AE7" s="527"/>
      <c r="AF7" s="386" t="s">
        <v>166</v>
      </c>
      <c r="AG7" s="82" t="s">
        <v>231</v>
      </c>
      <c r="AH7" s="82" t="s">
        <v>232</v>
      </c>
      <c r="AI7" s="526" t="s">
        <v>279</v>
      </c>
      <c r="AJ7" s="527"/>
      <c r="AK7" s="386" t="s">
        <v>165</v>
      </c>
      <c r="AL7" s="82" t="s">
        <v>231</v>
      </c>
      <c r="AM7" s="82" t="s">
        <v>232</v>
      </c>
      <c r="AN7" s="526" t="s">
        <v>279</v>
      </c>
      <c r="AO7" s="527"/>
      <c r="AP7" s="386" t="s">
        <v>283</v>
      </c>
      <c r="AQ7" s="82" t="s">
        <v>231</v>
      </c>
      <c r="AR7" s="82" t="s">
        <v>232</v>
      </c>
      <c r="AS7" s="526" t="s">
        <v>279</v>
      </c>
      <c r="AT7" s="527"/>
      <c r="AU7" s="386" t="s">
        <v>147</v>
      </c>
      <c r="AV7" s="82" t="s">
        <v>231</v>
      </c>
      <c r="AW7" s="82" t="s">
        <v>232</v>
      </c>
      <c r="AX7" s="526" t="s">
        <v>279</v>
      </c>
      <c r="AY7" s="527"/>
    </row>
    <row r="8" spans="2:51" ht="15" customHeight="1" x14ac:dyDescent="0.35">
      <c r="B8" s="534" t="s">
        <v>110</v>
      </c>
      <c r="C8" s="41" t="s">
        <v>110</v>
      </c>
      <c r="D8" s="528" t="s">
        <v>78</v>
      </c>
      <c r="E8" s="42" t="s">
        <v>144</v>
      </c>
      <c r="F8" s="43" t="s">
        <v>151</v>
      </c>
      <c r="G8" s="372"/>
      <c r="H8" s="373"/>
      <c r="I8" s="374"/>
      <c r="J8" s="375"/>
      <c r="K8" s="376" t="str">
        <f>IF(TRIM(J8)="", "", IF(VLOOKUP(J8,'Footnotes list'!$D$9:$E$58,2,FALSE)=0,"",VLOOKUP(J8,'Footnotes list'!$D$9:$E$58,2,FALSE) ) )</f>
        <v/>
      </c>
      <c r="L8" s="372"/>
      <c r="M8" s="373"/>
      <c r="N8" s="374"/>
      <c r="O8" s="375"/>
      <c r="P8" s="376" t="str">
        <f>IF(TRIM(O8)="", "", IF(VLOOKUP(O8,'Footnotes list'!$D$9:$E$58,2,FALSE)=0,"",VLOOKUP(O8,'Footnotes list'!$D$9:$E$58,2,FALSE) ) )</f>
        <v/>
      </c>
      <c r="Q8" s="372"/>
      <c r="R8" s="373"/>
      <c r="S8" s="374"/>
      <c r="T8" s="375"/>
      <c r="U8" s="376" t="str">
        <f>IF(TRIM(T8)="", "", IF(VLOOKUP(T8,'Footnotes list'!$D$9:$E$58,2,FALSE)=0,"",VLOOKUP(T8,'Footnotes list'!$D$9:$E$58,2,FALSE) ) )</f>
        <v/>
      </c>
      <c r="V8" s="372"/>
      <c r="W8" s="373"/>
      <c r="X8" s="374"/>
      <c r="Y8" s="375"/>
      <c r="Z8" s="376" t="str">
        <f>IF(TRIM(Y8)="", "", IF(VLOOKUP(Y8,'Footnotes list'!$D$9:$E$58,2,FALSE)=0,"",VLOOKUP(Y8,'Footnotes list'!$D$9:$E$58,2,FALSE) ) )</f>
        <v/>
      </c>
      <c r="AA8" s="382" t="str">
        <f>IF(AND(TRIM(Q8)="",TRIM(V8)=""),"",Q8+V8)</f>
        <v/>
      </c>
      <c r="AB8" s="373"/>
      <c r="AC8" s="374"/>
      <c r="AD8" s="375"/>
      <c r="AE8" s="376" t="str">
        <f>IF(TRIM(AD8)="", "", IF(VLOOKUP(AD8,'Footnotes list'!$D$9:$E$58,2,FALSE)=0,"",VLOOKUP(AD8,'Footnotes list'!$D$9:$E$58,2,FALSE) ) )</f>
        <v/>
      </c>
      <c r="AF8" s="372"/>
      <c r="AG8" s="373"/>
      <c r="AH8" s="374"/>
      <c r="AI8" s="375"/>
      <c r="AJ8" s="376" t="str">
        <f>IF(TRIM(AI8)="", "", IF(VLOOKUP(AI8,'Footnotes list'!$D$9:$E$58,2,FALSE)=0,"",VLOOKUP(AI8,'Footnotes list'!$D$9:$E$58,2,FALSE) ) )</f>
        <v/>
      </c>
      <c r="AK8" s="372"/>
      <c r="AL8" s="373"/>
      <c r="AM8" s="374"/>
      <c r="AN8" s="375"/>
      <c r="AO8" s="376" t="str">
        <f>IF(TRIM(AN8)="", "", IF(VLOOKUP(AN8,'Footnotes list'!$D$9:$E$58,2,FALSE)=0,"",VLOOKUP(AN8,'Footnotes list'!$D$9:$E$58,2,FALSE) ) )</f>
        <v/>
      </c>
      <c r="AP8" s="382" t="str">
        <f>IF(AND(TRIM(AF8)="",TRIM(AK8)=""),"",AF8+AK8)</f>
        <v/>
      </c>
      <c r="AQ8" s="373"/>
      <c r="AR8" s="374"/>
      <c r="AS8" s="375"/>
      <c r="AT8" s="376" t="str">
        <f>IF(TRIM(AS8)="", "", IF(VLOOKUP(AS8,'Footnotes list'!$D$9:$E$58,2,FALSE)=0,"",VLOOKUP(AS8,'Footnotes list'!$D$9:$E$58,2,FALSE) ) )</f>
        <v/>
      </c>
      <c r="AU8" s="382" t="str">
        <f>IF(AND(TRIM(G8)="",TRIM(L8)="",TRIM(AA8)="",TRIM(AP8)=""),"",SUM(G8,L8,AA8,AP8))</f>
        <v/>
      </c>
      <c r="AV8" s="373"/>
      <c r="AW8" s="374"/>
      <c r="AX8" s="375"/>
      <c r="AY8" s="376" t="str">
        <f>IF(TRIM(AX8)="", "", IF(VLOOKUP(AX8,'Footnotes list'!$D$9:$E$58,2,FALSE)=0,"",VLOOKUP(AX8,'Footnotes list'!$D$9:$E$58,2,FALSE) ) )</f>
        <v/>
      </c>
    </row>
    <row r="9" spans="2:51" ht="15" customHeight="1" x14ac:dyDescent="0.35">
      <c r="B9" s="535"/>
      <c r="C9" s="44"/>
      <c r="D9" s="529"/>
      <c r="E9" s="44"/>
      <c r="F9" s="45" t="s">
        <v>233</v>
      </c>
      <c r="G9" s="383"/>
      <c r="H9" s="384"/>
      <c r="I9" s="384"/>
      <c r="J9" s="384"/>
      <c r="K9" s="385"/>
      <c r="L9" s="383"/>
      <c r="M9" s="384"/>
      <c r="N9" s="384"/>
      <c r="O9" s="384"/>
      <c r="P9" s="385"/>
      <c r="Q9" s="383"/>
      <c r="R9" s="384"/>
      <c r="S9" s="384"/>
      <c r="T9" s="384"/>
      <c r="U9" s="385"/>
      <c r="V9" s="383"/>
      <c r="W9" s="384"/>
      <c r="X9" s="384"/>
      <c r="Y9" s="384"/>
      <c r="Z9" s="385"/>
      <c r="AA9" s="383"/>
      <c r="AB9" s="384"/>
      <c r="AC9" s="384"/>
      <c r="AD9" s="384"/>
      <c r="AE9" s="385"/>
      <c r="AF9" s="383"/>
      <c r="AG9" s="384"/>
      <c r="AH9" s="384"/>
      <c r="AI9" s="384"/>
      <c r="AJ9" s="385"/>
      <c r="AK9" s="383"/>
      <c r="AL9" s="384"/>
      <c r="AM9" s="384"/>
      <c r="AN9" s="384"/>
      <c r="AO9" s="385"/>
      <c r="AP9" s="383"/>
      <c r="AQ9" s="384"/>
      <c r="AR9" s="384"/>
      <c r="AS9" s="384"/>
      <c r="AT9" s="385"/>
      <c r="AU9" s="383"/>
      <c r="AV9" s="384"/>
      <c r="AW9" s="384"/>
      <c r="AX9" s="384"/>
      <c r="AY9" s="385"/>
    </row>
    <row r="10" spans="2:51" s="49" customFormat="1" ht="15" customHeight="1" thickBot="1" x14ac:dyDescent="0.4">
      <c r="B10" s="536"/>
      <c r="C10" s="46" t="s">
        <v>110</v>
      </c>
      <c r="D10" s="530"/>
      <c r="E10" s="47" t="s">
        <v>146</v>
      </c>
      <c r="F10" s="48" t="s">
        <v>234</v>
      </c>
      <c r="G10" s="126" t="str">
        <f>IF(AND(TRIM(G8)="",TRIM(G9)=""),"",G8+G9)</f>
        <v/>
      </c>
      <c r="H10" s="379"/>
      <c r="I10" s="380"/>
      <c r="J10" s="381"/>
      <c r="K10" s="377" t="str">
        <f>IF(TRIM(J10)="", "", IF(VLOOKUP(J10,'Footnotes list'!$D$9:$E$58,2,FALSE)=0,"",VLOOKUP(J10,'Footnotes list'!$D$9:$E$58,2,FALSE) ) )</f>
        <v/>
      </c>
      <c r="L10" s="126" t="str">
        <f>IF(AND(TRIM(L8)="",TRIM(L9)=""),"",L8+L9)</f>
        <v/>
      </c>
      <c r="M10" s="379"/>
      <c r="N10" s="380"/>
      <c r="O10" s="381"/>
      <c r="P10" s="377" t="str">
        <f>IF(TRIM(O10)="", "", IF(VLOOKUP(O10,'Footnotes list'!$D$9:$E$58,2,FALSE)=0,"",VLOOKUP(O10,'Footnotes list'!$D$9:$E$58,2,FALSE) ) )</f>
        <v/>
      </c>
      <c r="Q10" s="126" t="str">
        <f>IF(AND(TRIM(Q8)="",TRIM(Q9)=""),"",Q8+Q9)</f>
        <v/>
      </c>
      <c r="R10" s="379"/>
      <c r="S10" s="380"/>
      <c r="T10" s="381"/>
      <c r="U10" s="377" t="str">
        <f>IF(TRIM(T10)="", "", IF(VLOOKUP(T10,'Footnotes list'!$D$9:$E$58,2,FALSE)=0,"",VLOOKUP(T10,'Footnotes list'!$D$9:$E$58,2,FALSE) ) )</f>
        <v/>
      </c>
      <c r="V10" s="126" t="str">
        <f>IF(AND(TRIM(V8)="",TRIM(V9)=""),"",V8+V9)</f>
        <v/>
      </c>
      <c r="W10" s="379"/>
      <c r="X10" s="380"/>
      <c r="Y10" s="381"/>
      <c r="Z10" s="377" t="str">
        <f>IF(TRIM(Y10)="", "", IF(VLOOKUP(Y10,'Footnotes list'!$D$9:$E$58,2,FALSE)=0,"",VLOOKUP(Y10,'Footnotes list'!$D$9:$E$58,2,FALSE) ) )</f>
        <v/>
      </c>
      <c r="AA10" s="126" t="str">
        <f>IF(AND(TRIM(AA8)="", TRIM(AA9)=""), "", SUM(AA8,AA9))</f>
        <v/>
      </c>
      <c r="AB10" s="379"/>
      <c r="AC10" s="380"/>
      <c r="AD10" s="381"/>
      <c r="AE10" s="377" t="str">
        <f>IF(TRIM(AD10)="", "", IF(VLOOKUP(AD10,'Footnotes list'!$D$9:$E$58,2,FALSE)=0,"",VLOOKUP(AD10,'Footnotes list'!$D$9:$E$58,2,FALSE) ) )</f>
        <v/>
      </c>
      <c r="AF10" s="126" t="str">
        <f>IF(AND(TRIM(AF8)="",TRIM(AF9)=""),"",AF8+AF9)</f>
        <v/>
      </c>
      <c r="AG10" s="379"/>
      <c r="AH10" s="380"/>
      <c r="AI10" s="381"/>
      <c r="AJ10" s="377" t="str">
        <f>IF(TRIM(AI10)="", "", IF(VLOOKUP(AI10,'Footnotes list'!$D$9:$E$58,2,FALSE)=0,"",VLOOKUP(AI10,'Footnotes list'!$D$9:$E$58,2,FALSE) ) )</f>
        <v/>
      </c>
      <c r="AK10" s="126" t="str">
        <f>IF(AND(TRIM(AK8)="",TRIM(AK9)=""),"",AK8+AK9)</f>
        <v/>
      </c>
      <c r="AL10" s="379"/>
      <c r="AM10" s="380"/>
      <c r="AN10" s="381"/>
      <c r="AO10" s="377" t="str">
        <f>IF(TRIM(AN10)="", "", IF(VLOOKUP(AN10,'Footnotes list'!$D$9:$E$58,2,FALSE)=0,"",VLOOKUP(AN10,'Footnotes list'!$D$9:$E$58,2,FALSE) ) )</f>
        <v/>
      </c>
      <c r="AP10" s="126" t="str">
        <f>IF(AND(TRIM(AP8)="", TRIM(AP9)=""), "", SUM(AP8,AP9))</f>
        <v/>
      </c>
      <c r="AQ10" s="379"/>
      <c r="AR10" s="380"/>
      <c r="AS10" s="381"/>
      <c r="AT10" s="377" t="str">
        <f>IF(TRIM(AS10)="", "", IF(VLOOKUP(AS10,'Footnotes list'!$D$9:$E$58,2,FALSE)=0,"",VLOOKUP(AS10,'Footnotes list'!$D$9:$E$58,2,FALSE) ) )</f>
        <v/>
      </c>
      <c r="AU10" s="126" t="str">
        <f>IF(AND(TRIM(AU8)="", TRIM(AU9)=""), "", SUM(AU8,AU9) )</f>
        <v/>
      </c>
      <c r="AV10" s="379"/>
      <c r="AW10" s="380"/>
      <c r="AX10" s="381"/>
      <c r="AY10" s="377" t="str">
        <f>IF(TRIM(AX10)="", "", IF(VLOOKUP(AX10,'Footnotes list'!$D$9:$E$58,2,FALSE)=0,"",VLOOKUP(AX10,'Footnotes list'!$D$9:$E$58,2,FALSE) ) )</f>
        <v/>
      </c>
    </row>
    <row r="11" spans="2:51" ht="15" customHeight="1" x14ac:dyDescent="0.35">
      <c r="B11" s="534" t="s">
        <v>111</v>
      </c>
      <c r="C11" s="41" t="s">
        <v>111</v>
      </c>
      <c r="D11" s="528" t="s">
        <v>79</v>
      </c>
      <c r="E11" s="42" t="s">
        <v>144</v>
      </c>
      <c r="F11" s="43" t="s">
        <v>151</v>
      </c>
      <c r="G11" s="372"/>
      <c r="H11" s="373"/>
      <c r="I11" s="374"/>
      <c r="J11" s="375"/>
      <c r="K11" s="376" t="str">
        <f>IF(TRIM(J11)="", "", IF(VLOOKUP(J11,'Footnotes list'!$D$9:$E$58,2,FALSE)=0,"",VLOOKUP(J11,'Footnotes list'!$D$9:$E$58,2,FALSE) ) )</f>
        <v/>
      </c>
      <c r="L11" s="372"/>
      <c r="M11" s="373"/>
      <c r="N11" s="374"/>
      <c r="O11" s="375"/>
      <c r="P11" s="376" t="str">
        <f>IF(TRIM(O11)="", "", IF(VLOOKUP(O11,'Footnotes list'!$D$9:$E$58,2,FALSE)=0,"",VLOOKUP(O11,'Footnotes list'!$D$9:$E$58,2,FALSE) ) )</f>
        <v/>
      </c>
      <c r="Q11" s="372"/>
      <c r="R11" s="373"/>
      <c r="S11" s="374"/>
      <c r="T11" s="375"/>
      <c r="U11" s="376" t="str">
        <f>IF(TRIM(T11)="", "", IF(VLOOKUP(T11,'Footnotes list'!$D$9:$E$58,2,FALSE)=0,"",VLOOKUP(T11,'Footnotes list'!$D$9:$E$58,2,FALSE) ) )</f>
        <v/>
      </c>
      <c r="V11" s="372"/>
      <c r="W11" s="373"/>
      <c r="X11" s="374"/>
      <c r="Y11" s="375"/>
      <c r="Z11" s="376" t="str">
        <f>IF(TRIM(Y11)="", "", IF(VLOOKUP(Y11,'Footnotes list'!$D$9:$E$58,2,FALSE)=0,"",VLOOKUP(Y11,'Footnotes list'!$D$9:$E$58,2,FALSE) ) )</f>
        <v/>
      </c>
      <c r="AA11" s="382" t="str">
        <f>IF(AND(TRIM(Q11)="",TRIM(V11)=""),"",Q11+V11)</f>
        <v/>
      </c>
      <c r="AB11" s="373"/>
      <c r="AC11" s="374"/>
      <c r="AD11" s="375"/>
      <c r="AE11" s="376" t="str">
        <f>IF(TRIM(AD11)="", "", IF(VLOOKUP(AD11,'Footnotes list'!$D$9:$E$58,2,FALSE)=0,"",VLOOKUP(AD11,'Footnotes list'!$D$9:$E$58,2,FALSE) ) )</f>
        <v/>
      </c>
      <c r="AF11" s="372"/>
      <c r="AG11" s="373"/>
      <c r="AH11" s="374"/>
      <c r="AI11" s="375"/>
      <c r="AJ11" s="376" t="str">
        <f>IF(TRIM(AI11)="", "", IF(VLOOKUP(AI11,'Footnotes list'!$D$9:$E$58,2,FALSE)=0,"",VLOOKUP(AI11,'Footnotes list'!$D$9:$E$58,2,FALSE) ) )</f>
        <v/>
      </c>
      <c r="AK11" s="372"/>
      <c r="AL11" s="373"/>
      <c r="AM11" s="374"/>
      <c r="AN11" s="375"/>
      <c r="AO11" s="376" t="str">
        <f>IF(TRIM(AN11)="", "", IF(VLOOKUP(AN11,'Footnotes list'!$D$9:$E$58,2,FALSE)=0,"",VLOOKUP(AN11,'Footnotes list'!$D$9:$E$58,2,FALSE) ) )</f>
        <v/>
      </c>
      <c r="AP11" s="382" t="str">
        <f>IF(AND(TRIM(AF11)="",TRIM(AK11)=""),"",AF11+AK11)</f>
        <v/>
      </c>
      <c r="AQ11" s="373"/>
      <c r="AR11" s="374"/>
      <c r="AS11" s="375"/>
      <c r="AT11" s="376" t="str">
        <f>IF(TRIM(AS11)="", "", IF(VLOOKUP(AS11,'Footnotes list'!$D$9:$E$58,2,FALSE)=0,"",VLOOKUP(AS11,'Footnotes list'!$D$9:$E$58,2,FALSE) ) )</f>
        <v/>
      </c>
      <c r="AU11" s="382" t="str">
        <f>IF(AND(TRIM(G11)="",TRIM(L11)="",TRIM(AA11)="",TRIM(AP11)=""),"",SUM(G11,L11,AA11,AP11))</f>
        <v/>
      </c>
      <c r="AV11" s="373"/>
      <c r="AW11" s="374"/>
      <c r="AX11" s="375"/>
      <c r="AY11" s="376" t="str">
        <f>IF(TRIM(AX11)="", "", IF(VLOOKUP(AX11,'Footnotes list'!$D$9:$E$58,2,FALSE)=0,"",VLOOKUP(AX11,'Footnotes list'!$D$9:$E$58,2,FALSE) ) )</f>
        <v/>
      </c>
    </row>
    <row r="12" spans="2:51" ht="15" customHeight="1" x14ac:dyDescent="0.35">
      <c r="B12" s="535"/>
      <c r="C12" s="50" t="s">
        <v>111</v>
      </c>
      <c r="D12" s="529"/>
      <c r="E12" s="51" t="s">
        <v>145</v>
      </c>
      <c r="F12" s="52" t="s">
        <v>152</v>
      </c>
      <c r="G12" s="378"/>
      <c r="H12" s="379"/>
      <c r="I12" s="380"/>
      <c r="J12" s="381"/>
      <c r="K12" s="377" t="str">
        <f>IF(TRIM(J12)="", "", IF(VLOOKUP(J12,'Footnotes list'!$D$9:$E$58,2,FALSE)=0,"",VLOOKUP(J12,'Footnotes list'!$D$9:$E$58,2,FALSE) ) )</f>
        <v/>
      </c>
      <c r="L12" s="378"/>
      <c r="M12" s="379"/>
      <c r="N12" s="380"/>
      <c r="O12" s="381"/>
      <c r="P12" s="377" t="str">
        <f>IF(TRIM(O12)="", "", IF(VLOOKUP(O12,'Footnotes list'!$D$9:$E$58,2,FALSE)=0,"",VLOOKUP(O12,'Footnotes list'!$D$9:$E$58,2,FALSE) ) )</f>
        <v/>
      </c>
      <c r="Q12" s="378"/>
      <c r="R12" s="379"/>
      <c r="S12" s="380"/>
      <c r="T12" s="381"/>
      <c r="U12" s="377" t="str">
        <f>IF(TRIM(T12)="", "", IF(VLOOKUP(T12,'Footnotes list'!$D$9:$E$58,2,FALSE)=0,"",VLOOKUP(T12,'Footnotes list'!$D$9:$E$58,2,FALSE) ) )</f>
        <v/>
      </c>
      <c r="V12" s="378"/>
      <c r="W12" s="379"/>
      <c r="X12" s="380"/>
      <c r="Y12" s="381"/>
      <c r="Z12" s="377" t="str">
        <f>IF(TRIM(Y12)="", "", IF(VLOOKUP(Y12,'Footnotes list'!$D$9:$E$58,2,FALSE)=0,"",VLOOKUP(Y12,'Footnotes list'!$D$9:$E$58,2,FALSE) ) )</f>
        <v/>
      </c>
      <c r="AA12" s="129" t="str">
        <f>IF(AND(TRIM(Q12)="",TRIM(V12)=""),"",Q12+V12)</f>
        <v/>
      </c>
      <c r="AB12" s="379"/>
      <c r="AC12" s="380"/>
      <c r="AD12" s="381"/>
      <c r="AE12" s="377" t="str">
        <f>IF(TRIM(AD12)="", "", IF(VLOOKUP(AD12,'Footnotes list'!$D$9:$E$58,2,FALSE)=0,"",VLOOKUP(AD12,'Footnotes list'!$D$9:$E$58,2,FALSE) ) )</f>
        <v/>
      </c>
      <c r="AF12" s="378"/>
      <c r="AG12" s="379"/>
      <c r="AH12" s="380"/>
      <c r="AI12" s="381"/>
      <c r="AJ12" s="377" t="str">
        <f>IF(TRIM(AI12)="", "", IF(VLOOKUP(AI12,'Footnotes list'!$D$9:$E$58,2,FALSE)=0,"",VLOOKUP(AI12,'Footnotes list'!$D$9:$E$58,2,FALSE) ) )</f>
        <v/>
      </c>
      <c r="AK12" s="378"/>
      <c r="AL12" s="379"/>
      <c r="AM12" s="380"/>
      <c r="AN12" s="381"/>
      <c r="AO12" s="377" t="str">
        <f>IF(TRIM(AN12)="", "", IF(VLOOKUP(AN12,'Footnotes list'!$D$9:$E$58,2,FALSE)=0,"",VLOOKUP(AN12,'Footnotes list'!$D$9:$E$58,2,FALSE) ) )</f>
        <v/>
      </c>
      <c r="AP12" s="129" t="str">
        <f>IF(AND(TRIM(AF12)="",TRIM(AK12)=""),"",AF12+AK12)</f>
        <v/>
      </c>
      <c r="AQ12" s="379"/>
      <c r="AR12" s="380"/>
      <c r="AS12" s="381"/>
      <c r="AT12" s="377" t="str">
        <f>IF(TRIM(AS12)="", "", IF(VLOOKUP(AS12,'Footnotes list'!$D$9:$E$58,2,FALSE)=0,"",VLOOKUP(AS12,'Footnotes list'!$D$9:$E$58,2,FALSE) ) )</f>
        <v/>
      </c>
      <c r="AU12" s="403" t="str">
        <f>IF(AND(TRIM(G12)="",TRIM(L12)="",TRIM(AA12)="",TRIM(AP12)=""),"",SUM(G12,L12,AA12,AP12))</f>
        <v/>
      </c>
      <c r="AV12" s="379"/>
      <c r="AW12" s="380"/>
      <c r="AX12" s="381"/>
      <c r="AY12" s="377" t="str">
        <f>IF(TRIM(AX12)="", "", IF(VLOOKUP(AX12,'Footnotes list'!$D$9:$E$58,2,FALSE)=0,"",VLOOKUP(AX12,'Footnotes list'!$D$9:$E$58,2,FALSE) ) )</f>
        <v/>
      </c>
    </row>
    <row r="13" spans="2:51" ht="15" customHeight="1" thickBot="1" x14ac:dyDescent="0.4">
      <c r="B13" s="536"/>
      <c r="C13" s="53" t="s">
        <v>111</v>
      </c>
      <c r="D13" s="530"/>
      <c r="E13" s="47" t="s">
        <v>146</v>
      </c>
      <c r="F13" s="54" t="s">
        <v>234</v>
      </c>
      <c r="G13" s="126" t="str">
        <f>IF(AND(TRIM(G11)="",TRIM(G12)=""),"",G11+G12)</f>
        <v/>
      </c>
      <c r="H13" s="379"/>
      <c r="I13" s="380"/>
      <c r="J13" s="381"/>
      <c r="K13" s="377" t="str">
        <f>IF(TRIM(J13)="", "", IF(VLOOKUP(J13,'Footnotes list'!$D$9:$E$58,2,FALSE)=0,"",VLOOKUP(J13,'Footnotes list'!$D$9:$E$58,2,FALSE) ) )</f>
        <v/>
      </c>
      <c r="L13" s="126" t="str">
        <f>IF(AND(TRIM(L11)="",TRIM(L12)=""),"",L11+L12)</f>
        <v/>
      </c>
      <c r="M13" s="379"/>
      <c r="N13" s="380"/>
      <c r="O13" s="381"/>
      <c r="P13" s="377" t="str">
        <f>IF(TRIM(O13)="", "", IF(VLOOKUP(O13,'Footnotes list'!$D$9:$E$58,2,FALSE)=0,"",VLOOKUP(O13,'Footnotes list'!$D$9:$E$58,2,FALSE) ) )</f>
        <v/>
      </c>
      <c r="Q13" s="126" t="str">
        <f>IF(AND(TRIM(Q11)="",TRIM(Q12)=""),"",Q11+Q12)</f>
        <v/>
      </c>
      <c r="R13" s="379"/>
      <c r="S13" s="380"/>
      <c r="T13" s="381"/>
      <c r="U13" s="377" t="str">
        <f>IF(TRIM(T13)="", "", IF(VLOOKUP(T13,'Footnotes list'!$D$9:$E$58,2,FALSE)=0,"",VLOOKUP(T13,'Footnotes list'!$D$9:$E$58,2,FALSE) ) )</f>
        <v/>
      </c>
      <c r="V13" s="126" t="str">
        <f>IF(AND(TRIM(V11)="",TRIM(V12)=""),"",V11+V12)</f>
        <v/>
      </c>
      <c r="W13" s="379"/>
      <c r="X13" s="380"/>
      <c r="Y13" s="381"/>
      <c r="Z13" s="377" t="str">
        <f>IF(TRIM(Y13)="", "", IF(VLOOKUP(Y13,'Footnotes list'!$D$9:$E$58,2,FALSE)=0,"",VLOOKUP(Y13,'Footnotes list'!$D$9:$E$58,2,FALSE) ) )</f>
        <v/>
      </c>
      <c r="AA13" s="126" t="str">
        <f>IF(AND(TRIM(AA11)="", TRIM(AA12)=""), "", SUM(AA11,AA12))</f>
        <v/>
      </c>
      <c r="AB13" s="379"/>
      <c r="AC13" s="380"/>
      <c r="AD13" s="381"/>
      <c r="AE13" s="377" t="str">
        <f>IF(TRIM(AD13)="", "", IF(VLOOKUP(AD13,'Footnotes list'!$D$9:$E$58,2,FALSE)=0,"",VLOOKUP(AD13,'Footnotes list'!$D$9:$E$58,2,FALSE) ) )</f>
        <v/>
      </c>
      <c r="AF13" s="126" t="str">
        <f>IF(AND(TRIM(AF11)="",TRIM(AF12)=""),"",AF11+AF12)</f>
        <v/>
      </c>
      <c r="AG13" s="379"/>
      <c r="AH13" s="380"/>
      <c r="AI13" s="381"/>
      <c r="AJ13" s="377" t="str">
        <f>IF(TRIM(AI13)="", "", IF(VLOOKUP(AI13,'Footnotes list'!$D$9:$E$58,2,FALSE)=0,"",VLOOKUP(AI13,'Footnotes list'!$D$9:$E$58,2,FALSE) ) )</f>
        <v/>
      </c>
      <c r="AK13" s="126" t="str">
        <f>IF(AND(TRIM(AK11)="",TRIM(AK12)=""),"",AK11+AK12)</f>
        <v/>
      </c>
      <c r="AL13" s="379"/>
      <c r="AM13" s="380"/>
      <c r="AN13" s="381"/>
      <c r="AO13" s="377" t="str">
        <f>IF(TRIM(AN13)="", "", IF(VLOOKUP(AN13,'Footnotes list'!$D$9:$E$58,2,FALSE)=0,"",VLOOKUP(AN13,'Footnotes list'!$D$9:$E$58,2,FALSE) ) )</f>
        <v/>
      </c>
      <c r="AP13" s="126" t="str">
        <f>IF(AND(TRIM(AP11)="", TRIM(AP12)=""), "", SUM(AP11,AP12))</f>
        <v/>
      </c>
      <c r="AQ13" s="379"/>
      <c r="AR13" s="380"/>
      <c r="AS13" s="381"/>
      <c r="AT13" s="377" t="str">
        <f>IF(TRIM(AS13)="", "", IF(VLOOKUP(AS13,'Footnotes list'!$D$9:$E$58,2,FALSE)=0,"",VLOOKUP(AS13,'Footnotes list'!$D$9:$E$58,2,FALSE) ) )</f>
        <v/>
      </c>
      <c r="AU13" s="126" t="str">
        <f>IF(AND(TRIM(AU11)="", TRIM(AU12)=""), "", SUM(AU11,AU12) )</f>
        <v/>
      </c>
      <c r="AV13" s="379"/>
      <c r="AW13" s="380"/>
      <c r="AX13" s="381"/>
      <c r="AY13" s="377" t="str">
        <f>IF(TRIM(AX13)="", "", IF(VLOOKUP(AX13,'Footnotes list'!$D$9:$E$58,2,FALSE)=0,"",VLOOKUP(AX13,'Footnotes list'!$D$9:$E$58,2,FALSE) ) )</f>
        <v/>
      </c>
    </row>
    <row r="14" spans="2:51" ht="15" customHeight="1" x14ac:dyDescent="0.35">
      <c r="B14" s="534" t="s">
        <v>112</v>
      </c>
      <c r="C14" s="41" t="s">
        <v>112</v>
      </c>
      <c r="D14" s="528" t="s">
        <v>80</v>
      </c>
      <c r="E14" s="42" t="s">
        <v>144</v>
      </c>
      <c r="F14" s="43" t="s">
        <v>151</v>
      </c>
      <c r="G14" s="372"/>
      <c r="H14" s="373"/>
      <c r="I14" s="374"/>
      <c r="J14" s="375"/>
      <c r="K14" s="376" t="str">
        <f>IF(TRIM(J14)="", "", IF(VLOOKUP(J14,'Footnotes list'!$D$9:$E$58,2,FALSE)=0,"",VLOOKUP(J14,'Footnotes list'!$D$9:$E$58,2,FALSE) ) )</f>
        <v/>
      </c>
      <c r="L14" s="372"/>
      <c r="M14" s="373"/>
      <c r="N14" s="374"/>
      <c r="O14" s="375"/>
      <c r="P14" s="376" t="str">
        <f>IF(TRIM(O14)="", "", IF(VLOOKUP(O14,'Footnotes list'!$D$9:$E$58,2,FALSE)=0,"",VLOOKUP(O14,'Footnotes list'!$D$9:$E$58,2,FALSE) ) )</f>
        <v/>
      </c>
      <c r="Q14" s="372"/>
      <c r="R14" s="373"/>
      <c r="S14" s="374"/>
      <c r="T14" s="375"/>
      <c r="U14" s="376" t="str">
        <f>IF(TRIM(T14)="", "", IF(VLOOKUP(T14,'Footnotes list'!$D$9:$E$58,2,FALSE)=0,"",VLOOKUP(T14,'Footnotes list'!$D$9:$E$58,2,FALSE) ) )</f>
        <v/>
      </c>
      <c r="V14" s="372"/>
      <c r="W14" s="373"/>
      <c r="X14" s="374"/>
      <c r="Y14" s="375"/>
      <c r="Z14" s="376" t="str">
        <f>IF(TRIM(Y14)="", "", IF(VLOOKUP(Y14,'Footnotes list'!$D$9:$E$58,2,FALSE)=0,"",VLOOKUP(Y14,'Footnotes list'!$D$9:$E$58,2,FALSE) ) )</f>
        <v/>
      </c>
      <c r="AA14" s="128" t="str">
        <f>IF(AND(TRIM(Q14)="",TRIM(V14)=""),"",Q14+V14)</f>
        <v/>
      </c>
      <c r="AB14" s="373"/>
      <c r="AC14" s="374"/>
      <c r="AD14" s="375"/>
      <c r="AE14" s="376" t="str">
        <f>IF(TRIM(AD14)="", "", IF(VLOOKUP(AD14,'Footnotes list'!$D$9:$E$58,2,FALSE)=0,"",VLOOKUP(AD14,'Footnotes list'!$D$9:$E$58,2,FALSE) ) )</f>
        <v/>
      </c>
      <c r="AF14" s="372"/>
      <c r="AG14" s="373"/>
      <c r="AH14" s="374"/>
      <c r="AI14" s="375"/>
      <c r="AJ14" s="376" t="str">
        <f>IF(TRIM(AI14)="", "", IF(VLOOKUP(AI14,'Footnotes list'!$D$9:$E$58,2,FALSE)=0,"",VLOOKUP(AI14,'Footnotes list'!$D$9:$E$58,2,FALSE) ) )</f>
        <v/>
      </c>
      <c r="AK14" s="372"/>
      <c r="AL14" s="373"/>
      <c r="AM14" s="374"/>
      <c r="AN14" s="375"/>
      <c r="AO14" s="376" t="str">
        <f>IF(TRIM(AN14)="", "", IF(VLOOKUP(AN14,'Footnotes list'!$D$9:$E$58,2,FALSE)=0,"",VLOOKUP(AN14,'Footnotes list'!$D$9:$E$58,2,FALSE) ) )</f>
        <v/>
      </c>
      <c r="AP14" s="128" t="str">
        <f>IF(AND(TRIM(AF14)="",TRIM(AK14)=""),"",AF14+AK14)</f>
        <v/>
      </c>
      <c r="AQ14" s="373"/>
      <c r="AR14" s="374"/>
      <c r="AS14" s="375"/>
      <c r="AT14" s="376" t="str">
        <f>IF(TRIM(AS14)="", "", IF(VLOOKUP(AS14,'Footnotes list'!$D$9:$E$58,2,FALSE)=0,"",VLOOKUP(AS14,'Footnotes list'!$D$9:$E$58,2,FALSE) ) )</f>
        <v/>
      </c>
      <c r="AU14" s="382" t="str">
        <f>IF(AND(TRIM(G14)="",TRIM(L14)="",TRIM(AA14)="",TRIM(AP14)=""),"",SUM(G14,L14,AA14,AP14))</f>
        <v/>
      </c>
      <c r="AV14" s="373"/>
      <c r="AW14" s="374"/>
      <c r="AX14" s="375"/>
      <c r="AY14" s="376" t="str">
        <f>IF(TRIM(AX14)="", "", IF(VLOOKUP(AX14,'Footnotes list'!$D$9:$E$58,2,FALSE)=0,"",VLOOKUP(AX14,'Footnotes list'!$D$9:$E$58,2,FALSE) ) )</f>
        <v/>
      </c>
    </row>
    <row r="15" spans="2:51" ht="15" customHeight="1" thickBot="1" x14ac:dyDescent="0.4">
      <c r="B15" s="535"/>
      <c r="C15" s="44"/>
      <c r="D15" s="529"/>
      <c r="E15" s="44"/>
      <c r="F15" s="45" t="s">
        <v>233</v>
      </c>
      <c r="G15" s="383"/>
      <c r="H15" s="384"/>
      <c r="I15" s="384"/>
      <c r="J15" s="384"/>
      <c r="K15" s="385"/>
      <c r="L15" s="383"/>
      <c r="M15" s="384"/>
      <c r="N15" s="384"/>
      <c r="O15" s="384"/>
      <c r="P15" s="385"/>
      <c r="Q15" s="383"/>
      <c r="R15" s="384"/>
      <c r="S15" s="384"/>
      <c r="T15" s="384"/>
      <c r="U15" s="385"/>
      <c r="V15" s="383"/>
      <c r="W15" s="384"/>
      <c r="X15" s="384"/>
      <c r="Y15" s="384"/>
      <c r="Z15" s="385"/>
      <c r="AA15" s="383"/>
      <c r="AB15" s="384"/>
      <c r="AC15" s="384"/>
      <c r="AD15" s="384"/>
      <c r="AE15" s="385"/>
      <c r="AF15" s="383"/>
      <c r="AG15" s="384"/>
      <c r="AH15" s="384"/>
      <c r="AI15" s="384"/>
      <c r="AJ15" s="385"/>
      <c r="AK15" s="383"/>
      <c r="AL15" s="384"/>
      <c r="AM15" s="384"/>
      <c r="AN15" s="384"/>
      <c r="AO15" s="385"/>
      <c r="AP15" s="383"/>
      <c r="AQ15" s="384"/>
      <c r="AR15" s="384"/>
      <c r="AS15" s="384"/>
      <c r="AT15" s="385"/>
      <c r="AU15" s="383"/>
      <c r="AV15" s="384"/>
      <c r="AW15" s="384"/>
      <c r="AX15" s="384"/>
      <c r="AY15" s="385"/>
    </row>
    <row r="16" spans="2:51" ht="15" customHeight="1" thickBot="1" x14ac:dyDescent="0.4">
      <c r="B16" s="536"/>
      <c r="C16" s="53" t="s">
        <v>112</v>
      </c>
      <c r="D16" s="530"/>
      <c r="E16" s="47" t="s">
        <v>146</v>
      </c>
      <c r="F16" s="54" t="s">
        <v>234</v>
      </c>
      <c r="G16" s="126" t="str">
        <f>IF(AND(TRIM(G14)="",TRIM(G15)=""),"",G14+G15)</f>
        <v/>
      </c>
      <c r="H16" s="373"/>
      <c r="I16" s="374"/>
      <c r="J16" s="375"/>
      <c r="K16" s="376" t="str">
        <f>IF(TRIM(J16)="", "", IF(VLOOKUP(J16,'Footnotes list'!$D$9:$E$58,2,FALSE)=0,"",VLOOKUP(J16,'Footnotes list'!$D$9:$E$58,2,FALSE) ) )</f>
        <v/>
      </c>
      <c r="L16" s="126" t="str">
        <f>IF(AND(TRIM(L14)="",TRIM(L15)=""),"",L14+L15)</f>
        <v/>
      </c>
      <c r="M16" s="373"/>
      <c r="N16" s="374"/>
      <c r="O16" s="375"/>
      <c r="P16" s="376" t="str">
        <f>IF(TRIM(O16)="", "", IF(VLOOKUP(O16,'Footnotes list'!$D$9:$E$58,2,FALSE)=0,"",VLOOKUP(O16,'Footnotes list'!$D$9:$E$58,2,FALSE) ) )</f>
        <v/>
      </c>
      <c r="Q16" s="126" t="str">
        <f>IF(AND(TRIM(Q14)="",TRIM(Q15)=""),"",Q14+Q15)</f>
        <v/>
      </c>
      <c r="R16" s="373"/>
      <c r="S16" s="374"/>
      <c r="T16" s="375"/>
      <c r="U16" s="376" t="str">
        <f>IF(TRIM(T16)="", "", IF(VLOOKUP(T16,'Footnotes list'!$D$9:$E$58,2,FALSE)=0,"",VLOOKUP(T16,'Footnotes list'!$D$9:$E$58,2,FALSE) ) )</f>
        <v/>
      </c>
      <c r="V16" s="126" t="str">
        <f>IF(AND(TRIM(V14)="",TRIM(V15)=""),"",V14+V15)</f>
        <v/>
      </c>
      <c r="W16" s="373"/>
      <c r="X16" s="374"/>
      <c r="Y16" s="375"/>
      <c r="Z16" s="376" t="str">
        <f>IF(TRIM(Y16)="", "", IF(VLOOKUP(Y16,'Footnotes list'!$D$9:$E$58,2,FALSE)=0,"",VLOOKUP(Y16,'Footnotes list'!$D$9:$E$58,2,FALSE) ) )</f>
        <v/>
      </c>
      <c r="AA16" s="127" t="str">
        <f>IF(AND(TRIM(AA14)="", TRIM(AA15)=""), "", SUM(AA14,AA15))</f>
        <v/>
      </c>
      <c r="AB16" s="373"/>
      <c r="AC16" s="374"/>
      <c r="AD16" s="375"/>
      <c r="AE16" s="376" t="str">
        <f>IF(TRIM(AD16)="", "", IF(VLOOKUP(AD16,'Footnotes list'!$D$9:$E$58,2,FALSE)=0,"",VLOOKUP(AD16,'Footnotes list'!$D$9:$E$58,2,FALSE) ) )</f>
        <v/>
      </c>
      <c r="AF16" s="126" t="str">
        <f>IF(AND(TRIM(AF14)="",TRIM(AF15)=""),"",AF14+AF15)</f>
        <v/>
      </c>
      <c r="AG16" s="373"/>
      <c r="AH16" s="374"/>
      <c r="AI16" s="375"/>
      <c r="AJ16" s="376" t="str">
        <f>IF(TRIM(AI16)="", "", IF(VLOOKUP(AI16,'Footnotes list'!$D$9:$E$58,2,FALSE)=0,"",VLOOKUP(AI16,'Footnotes list'!$D$9:$E$58,2,FALSE) ) )</f>
        <v/>
      </c>
      <c r="AK16" s="126" t="str">
        <f>IF(AND(TRIM(AK14)="",TRIM(AK15)=""),"",AK14+AK15)</f>
        <v/>
      </c>
      <c r="AL16" s="373"/>
      <c r="AM16" s="374"/>
      <c r="AN16" s="375"/>
      <c r="AO16" s="376" t="str">
        <f>IF(TRIM(AN16)="", "", IF(VLOOKUP(AN16,'Footnotes list'!$D$9:$E$58,2,FALSE)=0,"",VLOOKUP(AN16,'Footnotes list'!$D$9:$E$58,2,FALSE) ) )</f>
        <v/>
      </c>
      <c r="AP16" s="127" t="str">
        <f>IF(AND(TRIM(AP14)="", TRIM(AP15)=""), "", SUM(AP14,AP15))</f>
        <v/>
      </c>
      <c r="AQ16" s="373"/>
      <c r="AR16" s="374"/>
      <c r="AS16" s="375"/>
      <c r="AT16" s="376" t="str">
        <f>IF(TRIM(AS16)="", "", IF(VLOOKUP(AS16,'Footnotes list'!$D$9:$E$58,2,FALSE)=0,"",VLOOKUP(AS16,'Footnotes list'!$D$9:$E$58,2,FALSE) ) )</f>
        <v/>
      </c>
      <c r="AU16" s="126" t="str">
        <f>IF(AND(TRIM(AU14)="", TRIM(AU15)=""), "", SUM(AU14,AU15) )</f>
        <v/>
      </c>
      <c r="AV16" s="373"/>
      <c r="AW16" s="374"/>
      <c r="AX16" s="375"/>
      <c r="AY16" s="376" t="str">
        <f>IF(TRIM(AX16)="", "", IF(VLOOKUP(AX16,'Footnotes list'!$D$9:$E$58,2,FALSE)=0,"",VLOOKUP(AX16,'Footnotes list'!$D$9:$E$58,2,FALSE) ) )</f>
        <v/>
      </c>
    </row>
    <row r="17" spans="2:51" ht="15" customHeight="1" x14ac:dyDescent="0.35">
      <c r="B17" s="534" t="s">
        <v>113</v>
      </c>
      <c r="C17" s="41" t="s">
        <v>113</v>
      </c>
      <c r="D17" s="528" t="s">
        <v>81</v>
      </c>
      <c r="E17" s="42" t="s">
        <v>144</v>
      </c>
      <c r="F17" s="43" t="s">
        <v>151</v>
      </c>
      <c r="G17" s="372"/>
      <c r="H17" s="373"/>
      <c r="I17" s="374"/>
      <c r="J17" s="375"/>
      <c r="K17" s="376" t="str">
        <f>IF(TRIM(J17)="", "", IF(VLOOKUP(J17,'Footnotes list'!$D$9:$E$58,2,FALSE)=0,"",VLOOKUP(J17,'Footnotes list'!$D$9:$E$58,2,FALSE) ) )</f>
        <v/>
      </c>
      <c r="L17" s="372"/>
      <c r="M17" s="373"/>
      <c r="N17" s="374"/>
      <c r="O17" s="375"/>
      <c r="P17" s="376" t="str">
        <f>IF(TRIM(O17)="", "", IF(VLOOKUP(O17,'Footnotes list'!$D$9:$E$58,2,FALSE)=0,"",VLOOKUP(O17,'Footnotes list'!$D$9:$E$58,2,FALSE) ) )</f>
        <v/>
      </c>
      <c r="Q17" s="372"/>
      <c r="R17" s="373"/>
      <c r="S17" s="374"/>
      <c r="T17" s="375"/>
      <c r="U17" s="376" t="str">
        <f>IF(TRIM(T17)="", "", IF(VLOOKUP(T17,'Footnotes list'!$D$9:$E$58,2,FALSE)=0,"",VLOOKUP(T17,'Footnotes list'!$D$9:$E$58,2,FALSE) ) )</f>
        <v/>
      </c>
      <c r="V17" s="372"/>
      <c r="W17" s="373"/>
      <c r="X17" s="374"/>
      <c r="Y17" s="375"/>
      <c r="Z17" s="376" t="str">
        <f>IF(TRIM(Y17)="", "", IF(VLOOKUP(Y17,'Footnotes list'!$D$9:$E$58,2,FALSE)=0,"",VLOOKUP(Y17,'Footnotes list'!$D$9:$E$58,2,FALSE) ) )</f>
        <v/>
      </c>
      <c r="AA17" s="382" t="str">
        <f>IF(AND(TRIM(Q17)="",TRIM(V17)=""),"",Q17+V17)</f>
        <v/>
      </c>
      <c r="AB17" s="373"/>
      <c r="AC17" s="374"/>
      <c r="AD17" s="375"/>
      <c r="AE17" s="376" t="str">
        <f>IF(TRIM(AD17)="", "", IF(VLOOKUP(AD17,'Footnotes list'!$D$9:$E$58,2,FALSE)=0,"",VLOOKUP(AD17,'Footnotes list'!$D$9:$E$58,2,FALSE) ) )</f>
        <v/>
      </c>
      <c r="AF17" s="372"/>
      <c r="AG17" s="373"/>
      <c r="AH17" s="374"/>
      <c r="AI17" s="375"/>
      <c r="AJ17" s="376" t="str">
        <f>IF(TRIM(AI17)="", "", IF(VLOOKUP(AI17,'Footnotes list'!$D$9:$E$58,2,FALSE)=0,"",VLOOKUP(AI17,'Footnotes list'!$D$9:$E$58,2,FALSE) ) )</f>
        <v/>
      </c>
      <c r="AK17" s="372"/>
      <c r="AL17" s="373"/>
      <c r="AM17" s="374"/>
      <c r="AN17" s="375"/>
      <c r="AO17" s="376" t="str">
        <f>IF(TRIM(AN17)="", "", IF(VLOOKUP(AN17,'Footnotes list'!$D$9:$E$58,2,FALSE)=0,"",VLOOKUP(AN17,'Footnotes list'!$D$9:$E$58,2,FALSE) ) )</f>
        <v/>
      </c>
      <c r="AP17" s="382" t="str">
        <f>IF(AND(TRIM(AF17)="",TRIM(AK17)=""),"",AF17+AK17)</f>
        <v/>
      </c>
      <c r="AQ17" s="373"/>
      <c r="AR17" s="374"/>
      <c r="AS17" s="375"/>
      <c r="AT17" s="376" t="str">
        <f>IF(TRIM(AS17)="", "", IF(VLOOKUP(AS17,'Footnotes list'!$D$9:$E$58,2,FALSE)=0,"",VLOOKUP(AS17,'Footnotes list'!$D$9:$E$58,2,FALSE) ) )</f>
        <v/>
      </c>
      <c r="AU17" s="382" t="str">
        <f>IF(AND(TRIM(G17)="",TRIM(L17)="",TRIM(AA17)="",TRIM(AP17)=""),"",SUM(G17,L17,AA17,AP17))</f>
        <v/>
      </c>
      <c r="AV17" s="373"/>
      <c r="AW17" s="374"/>
      <c r="AX17" s="375"/>
      <c r="AY17" s="376" t="str">
        <f>IF(TRIM(AX17)="", "", IF(VLOOKUP(AX17,'Footnotes list'!$D$9:$E$58,2,FALSE)=0,"",VLOOKUP(AX17,'Footnotes list'!$D$9:$E$58,2,FALSE) ) )</f>
        <v/>
      </c>
    </row>
    <row r="18" spans="2:51" ht="15" customHeight="1" x14ac:dyDescent="0.35">
      <c r="B18" s="535"/>
      <c r="C18" s="50" t="s">
        <v>113</v>
      </c>
      <c r="D18" s="529"/>
      <c r="E18" s="51" t="s">
        <v>145</v>
      </c>
      <c r="F18" s="52" t="s">
        <v>152</v>
      </c>
      <c r="G18" s="378"/>
      <c r="H18" s="379"/>
      <c r="I18" s="380"/>
      <c r="J18" s="381"/>
      <c r="K18" s="377" t="str">
        <f>IF(TRIM(J18)="", "", IF(VLOOKUP(J18,'Footnotes list'!$D$9:$E$58,2,FALSE)=0,"",VLOOKUP(J18,'Footnotes list'!$D$9:$E$58,2,FALSE) ) )</f>
        <v/>
      </c>
      <c r="L18" s="378"/>
      <c r="M18" s="379"/>
      <c r="N18" s="380"/>
      <c r="O18" s="381"/>
      <c r="P18" s="377" t="str">
        <f>IF(TRIM(O18)="", "", IF(VLOOKUP(O18,'Footnotes list'!$D$9:$E$58,2,FALSE)=0,"",VLOOKUP(O18,'Footnotes list'!$D$9:$E$58,2,FALSE) ) )</f>
        <v/>
      </c>
      <c r="Q18" s="378"/>
      <c r="R18" s="379"/>
      <c r="S18" s="380"/>
      <c r="T18" s="381"/>
      <c r="U18" s="377" t="str">
        <f>IF(TRIM(T18)="", "", IF(VLOOKUP(T18,'Footnotes list'!$D$9:$E$58,2,FALSE)=0,"",VLOOKUP(T18,'Footnotes list'!$D$9:$E$58,2,FALSE) ) )</f>
        <v/>
      </c>
      <c r="V18" s="378"/>
      <c r="W18" s="379"/>
      <c r="X18" s="380"/>
      <c r="Y18" s="381"/>
      <c r="Z18" s="377" t="str">
        <f>IF(TRIM(Y18)="", "", IF(VLOOKUP(Y18,'Footnotes list'!$D$9:$E$58,2,FALSE)=0,"",VLOOKUP(Y18,'Footnotes list'!$D$9:$E$58,2,FALSE) ) )</f>
        <v/>
      </c>
      <c r="AA18" s="129" t="str">
        <f>IF(AND(TRIM(Q18)="",TRIM(V18)=""),"",Q18+V18)</f>
        <v/>
      </c>
      <c r="AB18" s="379"/>
      <c r="AC18" s="380"/>
      <c r="AD18" s="381"/>
      <c r="AE18" s="377" t="str">
        <f>IF(TRIM(AD18)="", "", IF(VLOOKUP(AD18,'Footnotes list'!$D$9:$E$58,2,FALSE)=0,"",VLOOKUP(AD18,'Footnotes list'!$D$9:$E$58,2,FALSE) ) )</f>
        <v/>
      </c>
      <c r="AF18" s="378"/>
      <c r="AG18" s="379"/>
      <c r="AH18" s="380"/>
      <c r="AI18" s="381"/>
      <c r="AJ18" s="377" t="str">
        <f>IF(TRIM(AI18)="", "", IF(VLOOKUP(AI18,'Footnotes list'!$D$9:$E$58,2,FALSE)=0,"",VLOOKUP(AI18,'Footnotes list'!$D$9:$E$58,2,FALSE) ) )</f>
        <v/>
      </c>
      <c r="AK18" s="378"/>
      <c r="AL18" s="379"/>
      <c r="AM18" s="380"/>
      <c r="AN18" s="381"/>
      <c r="AO18" s="377" t="str">
        <f>IF(TRIM(AN18)="", "", IF(VLOOKUP(AN18,'Footnotes list'!$D$9:$E$58,2,FALSE)=0,"",VLOOKUP(AN18,'Footnotes list'!$D$9:$E$58,2,FALSE) ) )</f>
        <v/>
      </c>
      <c r="AP18" s="129" t="str">
        <f>IF(AND(TRIM(AF18)="",TRIM(AK18)=""),"",AF18+AK18)</f>
        <v/>
      </c>
      <c r="AQ18" s="379"/>
      <c r="AR18" s="380"/>
      <c r="AS18" s="381"/>
      <c r="AT18" s="377" t="str">
        <f>IF(TRIM(AS18)="", "", IF(VLOOKUP(AS18,'Footnotes list'!$D$9:$E$58,2,FALSE)=0,"",VLOOKUP(AS18,'Footnotes list'!$D$9:$E$58,2,FALSE) ) )</f>
        <v/>
      </c>
      <c r="AU18" s="403" t="str">
        <f>IF(AND(TRIM(G18)="",TRIM(L18)="",TRIM(AA18)="",TRIM(AP18)=""),"",SUM(G18,L18,AA18,AP18))</f>
        <v/>
      </c>
      <c r="AV18" s="379"/>
      <c r="AW18" s="380"/>
      <c r="AX18" s="381"/>
      <c r="AY18" s="377" t="str">
        <f>IF(TRIM(AX18)="", "", IF(VLOOKUP(AX18,'Footnotes list'!$D$9:$E$58,2,FALSE)=0,"",VLOOKUP(AX18,'Footnotes list'!$D$9:$E$58,2,FALSE) ) )</f>
        <v/>
      </c>
    </row>
    <row r="19" spans="2:51" ht="15" customHeight="1" thickBot="1" x14ac:dyDescent="0.4">
      <c r="B19" s="536"/>
      <c r="C19" s="53" t="s">
        <v>113</v>
      </c>
      <c r="D19" s="530"/>
      <c r="E19" s="47" t="s">
        <v>146</v>
      </c>
      <c r="F19" s="54" t="s">
        <v>234</v>
      </c>
      <c r="G19" s="126" t="str">
        <f>IF(AND(TRIM(G17)="",TRIM(G18)=""),"",G17+G18)</f>
        <v/>
      </c>
      <c r="H19" s="379"/>
      <c r="I19" s="380"/>
      <c r="J19" s="381"/>
      <c r="K19" s="377" t="str">
        <f>IF(TRIM(J19)="", "", IF(VLOOKUP(J19,'Footnotes list'!$D$9:$E$58,2,FALSE)=0,"",VLOOKUP(J19,'Footnotes list'!$D$9:$E$58,2,FALSE) ) )</f>
        <v/>
      </c>
      <c r="L19" s="126" t="str">
        <f>IF(AND(TRIM(L17)="",TRIM(L18)=""),"",L17+L18)</f>
        <v/>
      </c>
      <c r="M19" s="379"/>
      <c r="N19" s="380"/>
      <c r="O19" s="381"/>
      <c r="P19" s="377" t="str">
        <f>IF(TRIM(O19)="", "", IF(VLOOKUP(O19,'Footnotes list'!$D$9:$E$58,2,FALSE)=0,"",VLOOKUP(O19,'Footnotes list'!$D$9:$E$58,2,FALSE) ) )</f>
        <v/>
      </c>
      <c r="Q19" s="126" t="str">
        <f>IF(AND(TRIM(Q17)="",TRIM(Q18)=""),"",Q17+Q18)</f>
        <v/>
      </c>
      <c r="R19" s="379"/>
      <c r="S19" s="380"/>
      <c r="T19" s="381"/>
      <c r="U19" s="377" t="str">
        <f>IF(TRIM(T19)="", "", IF(VLOOKUP(T19,'Footnotes list'!$D$9:$E$58,2,FALSE)=0,"",VLOOKUP(T19,'Footnotes list'!$D$9:$E$58,2,FALSE) ) )</f>
        <v/>
      </c>
      <c r="V19" s="126" t="str">
        <f>IF(AND(TRIM(V17)="",TRIM(V18)=""),"",V17+V18)</f>
        <v/>
      </c>
      <c r="W19" s="379"/>
      <c r="X19" s="380"/>
      <c r="Y19" s="381"/>
      <c r="Z19" s="377" t="str">
        <f>IF(TRIM(Y19)="", "", IF(VLOOKUP(Y19,'Footnotes list'!$D$9:$E$58,2,FALSE)=0,"",VLOOKUP(Y19,'Footnotes list'!$D$9:$E$58,2,FALSE) ) )</f>
        <v/>
      </c>
      <c r="AA19" s="126" t="str">
        <f>IF(AND(TRIM(AA17)="", TRIM(AA18)=""), "", SUM(AA17,AA18))</f>
        <v/>
      </c>
      <c r="AB19" s="379"/>
      <c r="AC19" s="380"/>
      <c r="AD19" s="381"/>
      <c r="AE19" s="377" t="str">
        <f>IF(TRIM(AD19)="", "", IF(VLOOKUP(AD19,'Footnotes list'!$D$9:$E$58,2,FALSE)=0,"",VLOOKUP(AD19,'Footnotes list'!$D$9:$E$58,2,FALSE) ) )</f>
        <v/>
      </c>
      <c r="AF19" s="126" t="str">
        <f>IF(AND(TRIM(AF17)="",TRIM(AF18)=""),"",AF17+AF18)</f>
        <v/>
      </c>
      <c r="AG19" s="379"/>
      <c r="AH19" s="380"/>
      <c r="AI19" s="381"/>
      <c r="AJ19" s="377" t="str">
        <f>IF(TRIM(AI19)="", "", IF(VLOOKUP(AI19,'Footnotes list'!$D$9:$E$58,2,FALSE)=0,"",VLOOKUP(AI19,'Footnotes list'!$D$9:$E$58,2,FALSE) ) )</f>
        <v/>
      </c>
      <c r="AK19" s="126" t="str">
        <f>IF(AND(TRIM(AK17)="",TRIM(AK18)=""),"",AK17+AK18)</f>
        <v/>
      </c>
      <c r="AL19" s="379"/>
      <c r="AM19" s="380"/>
      <c r="AN19" s="381"/>
      <c r="AO19" s="377" t="str">
        <f>IF(TRIM(AN19)="", "", IF(VLOOKUP(AN19,'Footnotes list'!$D$9:$E$58,2,FALSE)=0,"",VLOOKUP(AN19,'Footnotes list'!$D$9:$E$58,2,FALSE) ) )</f>
        <v/>
      </c>
      <c r="AP19" s="126" t="str">
        <f>IF(AND(TRIM(AP17)="", TRIM(AP18)=""), "", SUM(AP17,AP18))</f>
        <v/>
      </c>
      <c r="AQ19" s="379"/>
      <c r="AR19" s="380"/>
      <c r="AS19" s="381"/>
      <c r="AT19" s="377" t="str">
        <f>IF(TRIM(AS19)="", "", IF(VLOOKUP(AS19,'Footnotes list'!$D$9:$E$58,2,FALSE)=0,"",VLOOKUP(AS19,'Footnotes list'!$D$9:$E$58,2,FALSE) ) )</f>
        <v/>
      </c>
      <c r="AU19" s="126" t="str">
        <f>IF(AND(TRIM(AU17)="", TRIM(AU18)=""), "", SUM(AU17,AU18) )</f>
        <v/>
      </c>
      <c r="AV19" s="379"/>
      <c r="AW19" s="380"/>
      <c r="AX19" s="381"/>
      <c r="AY19" s="377" t="str">
        <f>IF(TRIM(AX19)="", "", IF(VLOOKUP(AX19,'Footnotes list'!$D$9:$E$58,2,FALSE)=0,"",VLOOKUP(AX19,'Footnotes list'!$D$9:$E$58,2,FALSE) ) )</f>
        <v/>
      </c>
    </row>
    <row r="20" spans="2:51" ht="15" customHeight="1" x14ac:dyDescent="0.35">
      <c r="B20" s="534" t="s">
        <v>114</v>
      </c>
      <c r="C20" s="41" t="s">
        <v>114</v>
      </c>
      <c r="D20" s="528" t="s">
        <v>82</v>
      </c>
      <c r="E20" s="42" t="s">
        <v>144</v>
      </c>
      <c r="F20" s="43" t="s">
        <v>151</v>
      </c>
      <c r="G20" s="372"/>
      <c r="H20" s="373"/>
      <c r="I20" s="374"/>
      <c r="J20" s="375"/>
      <c r="K20" s="376" t="str">
        <f>IF(TRIM(J20)="", "", IF(VLOOKUP(J20,'Footnotes list'!$D$9:$E$58,2,FALSE)=0,"",VLOOKUP(J20,'Footnotes list'!$D$9:$E$58,2,FALSE) ) )</f>
        <v/>
      </c>
      <c r="L20" s="372"/>
      <c r="M20" s="373"/>
      <c r="N20" s="374"/>
      <c r="O20" s="375"/>
      <c r="P20" s="376" t="str">
        <f>IF(TRIM(O20)="", "", IF(VLOOKUP(O20,'Footnotes list'!$D$9:$E$58,2,FALSE)=0,"",VLOOKUP(O20,'Footnotes list'!$D$9:$E$58,2,FALSE) ) )</f>
        <v/>
      </c>
      <c r="Q20" s="372"/>
      <c r="R20" s="373"/>
      <c r="S20" s="374"/>
      <c r="T20" s="375"/>
      <c r="U20" s="376" t="str">
        <f>IF(TRIM(T20)="", "", IF(VLOOKUP(T20,'Footnotes list'!$D$9:$E$58,2,FALSE)=0,"",VLOOKUP(T20,'Footnotes list'!$D$9:$E$58,2,FALSE) ) )</f>
        <v/>
      </c>
      <c r="V20" s="372"/>
      <c r="W20" s="373"/>
      <c r="X20" s="374"/>
      <c r="Y20" s="375"/>
      <c r="Z20" s="376" t="str">
        <f>IF(TRIM(Y20)="", "", IF(VLOOKUP(Y20,'Footnotes list'!$D$9:$E$58,2,FALSE)=0,"",VLOOKUP(Y20,'Footnotes list'!$D$9:$E$58,2,FALSE) ) )</f>
        <v/>
      </c>
      <c r="AA20" s="382" t="str">
        <f>IF(AND(TRIM(Q20)="",TRIM(V20)=""),"",Q20+V20)</f>
        <v/>
      </c>
      <c r="AB20" s="373"/>
      <c r="AC20" s="374"/>
      <c r="AD20" s="375"/>
      <c r="AE20" s="376" t="str">
        <f>IF(TRIM(AD20)="", "", IF(VLOOKUP(AD20,'Footnotes list'!$D$9:$E$58,2,FALSE)=0,"",VLOOKUP(AD20,'Footnotes list'!$D$9:$E$58,2,FALSE) ) )</f>
        <v/>
      </c>
      <c r="AF20" s="372"/>
      <c r="AG20" s="373"/>
      <c r="AH20" s="374"/>
      <c r="AI20" s="375"/>
      <c r="AJ20" s="376" t="str">
        <f>IF(TRIM(AI20)="", "", IF(VLOOKUP(AI20,'Footnotes list'!$D$9:$E$58,2,FALSE)=0,"",VLOOKUP(AI20,'Footnotes list'!$D$9:$E$58,2,FALSE) ) )</f>
        <v/>
      </c>
      <c r="AK20" s="372"/>
      <c r="AL20" s="373"/>
      <c r="AM20" s="374"/>
      <c r="AN20" s="375"/>
      <c r="AO20" s="376" t="str">
        <f>IF(TRIM(AN20)="", "", IF(VLOOKUP(AN20,'Footnotes list'!$D$9:$E$58,2,FALSE)=0,"",VLOOKUP(AN20,'Footnotes list'!$D$9:$E$58,2,FALSE) ) )</f>
        <v/>
      </c>
      <c r="AP20" s="382" t="str">
        <f>IF(AND(TRIM(AF20)="",TRIM(AK20)=""),"",AF20+AK20)</f>
        <v/>
      </c>
      <c r="AQ20" s="373"/>
      <c r="AR20" s="374"/>
      <c r="AS20" s="375"/>
      <c r="AT20" s="376" t="str">
        <f>IF(TRIM(AS20)="", "", IF(VLOOKUP(AS20,'Footnotes list'!$D$9:$E$58,2,FALSE)=0,"",VLOOKUP(AS20,'Footnotes list'!$D$9:$E$58,2,FALSE) ) )</f>
        <v/>
      </c>
      <c r="AU20" s="382" t="str">
        <f>IF(AND(TRIM(G20)="",TRIM(L20)="",TRIM(AA20)="",TRIM(AP20)=""),"",SUM(G20,L20,AA20,AP20))</f>
        <v/>
      </c>
      <c r="AV20" s="373"/>
      <c r="AW20" s="374"/>
      <c r="AX20" s="375"/>
      <c r="AY20" s="376" t="str">
        <f>IF(TRIM(AX20)="", "", IF(VLOOKUP(AX20,'Footnotes list'!$D$9:$E$58,2,FALSE)=0,"",VLOOKUP(AX20,'Footnotes list'!$D$9:$E$58,2,FALSE) ) )</f>
        <v/>
      </c>
    </row>
    <row r="21" spans="2:51" ht="15" customHeight="1" x14ac:dyDescent="0.35">
      <c r="B21" s="535"/>
      <c r="C21" s="50" t="s">
        <v>114</v>
      </c>
      <c r="D21" s="529"/>
      <c r="E21" s="51" t="s">
        <v>145</v>
      </c>
      <c r="F21" s="52" t="s">
        <v>152</v>
      </c>
      <c r="G21" s="378"/>
      <c r="H21" s="379"/>
      <c r="I21" s="380"/>
      <c r="J21" s="381"/>
      <c r="K21" s="377" t="str">
        <f>IF(TRIM(J21)="", "", IF(VLOOKUP(J21,'Footnotes list'!$D$9:$E$58,2,FALSE)=0,"",VLOOKUP(J21,'Footnotes list'!$D$9:$E$58,2,FALSE) ) )</f>
        <v/>
      </c>
      <c r="L21" s="378"/>
      <c r="M21" s="379"/>
      <c r="N21" s="380"/>
      <c r="O21" s="381"/>
      <c r="P21" s="377" t="str">
        <f>IF(TRIM(O21)="", "", IF(VLOOKUP(O21,'Footnotes list'!$D$9:$E$58,2,FALSE)=0,"",VLOOKUP(O21,'Footnotes list'!$D$9:$E$58,2,FALSE) ) )</f>
        <v/>
      </c>
      <c r="Q21" s="378"/>
      <c r="R21" s="379"/>
      <c r="S21" s="380"/>
      <c r="T21" s="381"/>
      <c r="U21" s="377" t="str">
        <f>IF(TRIM(T21)="", "", IF(VLOOKUP(T21,'Footnotes list'!$D$9:$E$58,2,FALSE)=0,"",VLOOKUP(T21,'Footnotes list'!$D$9:$E$58,2,FALSE) ) )</f>
        <v/>
      </c>
      <c r="V21" s="378"/>
      <c r="W21" s="379"/>
      <c r="X21" s="380"/>
      <c r="Y21" s="381"/>
      <c r="Z21" s="377" t="str">
        <f>IF(TRIM(Y21)="", "", IF(VLOOKUP(Y21,'Footnotes list'!$D$9:$E$58,2,FALSE)=0,"",VLOOKUP(Y21,'Footnotes list'!$D$9:$E$58,2,FALSE) ) )</f>
        <v/>
      </c>
      <c r="AA21" s="129" t="str">
        <f>IF(AND(TRIM(Q21)="",TRIM(V21)=""),"",Q21+V21)</f>
        <v/>
      </c>
      <c r="AB21" s="379"/>
      <c r="AC21" s="380"/>
      <c r="AD21" s="381"/>
      <c r="AE21" s="377" t="str">
        <f>IF(TRIM(AD21)="", "", IF(VLOOKUP(AD21,'Footnotes list'!$D$9:$E$58,2,FALSE)=0,"",VLOOKUP(AD21,'Footnotes list'!$D$9:$E$58,2,FALSE) ) )</f>
        <v/>
      </c>
      <c r="AF21" s="378"/>
      <c r="AG21" s="379"/>
      <c r="AH21" s="380"/>
      <c r="AI21" s="381"/>
      <c r="AJ21" s="377" t="str">
        <f>IF(TRIM(AI21)="", "", IF(VLOOKUP(AI21,'Footnotes list'!$D$9:$E$58,2,FALSE)=0,"",VLOOKUP(AI21,'Footnotes list'!$D$9:$E$58,2,FALSE) ) )</f>
        <v/>
      </c>
      <c r="AK21" s="378"/>
      <c r="AL21" s="379"/>
      <c r="AM21" s="380"/>
      <c r="AN21" s="381"/>
      <c r="AO21" s="377" t="str">
        <f>IF(TRIM(AN21)="", "", IF(VLOOKUP(AN21,'Footnotes list'!$D$9:$E$58,2,FALSE)=0,"",VLOOKUP(AN21,'Footnotes list'!$D$9:$E$58,2,FALSE) ) )</f>
        <v/>
      </c>
      <c r="AP21" s="129" t="str">
        <f>IF(AND(TRIM(AF21)="",TRIM(AK21)=""),"",AF21+AK21)</f>
        <v/>
      </c>
      <c r="AQ21" s="379"/>
      <c r="AR21" s="380"/>
      <c r="AS21" s="381"/>
      <c r="AT21" s="377" t="str">
        <f>IF(TRIM(AS21)="", "", IF(VLOOKUP(AS21,'Footnotes list'!$D$9:$E$58,2,FALSE)=0,"",VLOOKUP(AS21,'Footnotes list'!$D$9:$E$58,2,FALSE) ) )</f>
        <v/>
      </c>
      <c r="AU21" s="403" t="str">
        <f>IF(AND(TRIM(G21)="",TRIM(L21)="",TRIM(AA21)="",TRIM(AP21)=""),"",SUM(G21,L21,AA21,AP21))</f>
        <v/>
      </c>
      <c r="AV21" s="379"/>
      <c r="AW21" s="380"/>
      <c r="AX21" s="381"/>
      <c r="AY21" s="377" t="str">
        <f>IF(TRIM(AX21)="", "", IF(VLOOKUP(AX21,'Footnotes list'!$D$9:$E$58,2,FALSE)=0,"",VLOOKUP(AX21,'Footnotes list'!$D$9:$E$58,2,FALSE) ) )</f>
        <v/>
      </c>
    </row>
    <row r="22" spans="2:51" ht="15" customHeight="1" thickBot="1" x14ac:dyDescent="0.4">
      <c r="B22" s="536"/>
      <c r="C22" s="53" t="s">
        <v>114</v>
      </c>
      <c r="D22" s="530"/>
      <c r="E22" s="47" t="s">
        <v>146</v>
      </c>
      <c r="F22" s="54" t="s">
        <v>234</v>
      </c>
      <c r="G22" s="126" t="str">
        <f>IF(AND(TRIM(G20)="",TRIM(G21)=""),"",G20+G21)</f>
        <v/>
      </c>
      <c r="H22" s="379"/>
      <c r="I22" s="380"/>
      <c r="J22" s="381"/>
      <c r="K22" s="377" t="str">
        <f>IF(TRIM(J22)="", "", IF(VLOOKUP(J22,'Footnotes list'!$D$9:$E$58,2,FALSE)=0,"",VLOOKUP(J22,'Footnotes list'!$D$9:$E$58,2,FALSE) ) )</f>
        <v/>
      </c>
      <c r="L22" s="126" t="str">
        <f>IF(AND(TRIM(L20)="",TRIM(L21)=""),"",L20+L21)</f>
        <v/>
      </c>
      <c r="M22" s="379"/>
      <c r="N22" s="380"/>
      <c r="O22" s="381"/>
      <c r="P22" s="377" t="str">
        <f>IF(TRIM(O22)="", "", IF(VLOOKUP(O22,'Footnotes list'!$D$9:$E$58,2,FALSE)=0,"",VLOOKUP(O22,'Footnotes list'!$D$9:$E$58,2,FALSE) ) )</f>
        <v/>
      </c>
      <c r="Q22" s="126" t="str">
        <f>IF(AND(TRIM(Q20)="",TRIM(Q21)=""),"",Q20+Q21)</f>
        <v/>
      </c>
      <c r="R22" s="379"/>
      <c r="S22" s="380"/>
      <c r="T22" s="381"/>
      <c r="U22" s="377" t="str">
        <f>IF(TRIM(T22)="", "", IF(VLOOKUP(T22,'Footnotes list'!$D$9:$E$58,2,FALSE)=0,"",VLOOKUP(T22,'Footnotes list'!$D$9:$E$58,2,FALSE) ) )</f>
        <v/>
      </c>
      <c r="V22" s="126" t="str">
        <f>IF(AND(TRIM(V20)="",TRIM(V21)=""),"",V20+V21)</f>
        <v/>
      </c>
      <c r="W22" s="379"/>
      <c r="X22" s="380"/>
      <c r="Y22" s="381"/>
      <c r="Z22" s="377" t="str">
        <f>IF(TRIM(Y22)="", "", IF(VLOOKUP(Y22,'Footnotes list'!$D$9:$E$58,2,FALSE)=0,"",VLOOKUP(Y22,'Footnotes list'!$D$9:$E$58,2,FALSE) ) )</f>
        <v/>
      </c>
      <c r="AA22" s="126" t="str">
        <f>IF(AND(TRIM(AA20)="", TRIM(AA21)=""), "", SUM(AA20,AA21))</f>
        <v/>
      </c>
      <c r="AB22" s="379"/>
      <c r="AC22" s="380"/>
      <c r="AD22" s="381"/>
      <c r="AE22" s="377" t="str">
        <f>IF(TRIM(AD22)="", "", IF(VLOOKUP(AD22,'Footnotes list'!$D$9:$E$58,2,FALSE)=0,"",VLOOKUP(AD22,'Footnotes list'!$D$9:$E$58,2,FALSE) ) )</f>
        <v/>
      </c>
      <c r="AF22" s="126" t="str">
        <f>IF(AND(TRIM(AF20)="",TRIM(AF21)=""),"",AF20+AF21)</f>
        <v/>
      </c>
      <c r="AG22" s="379"/>
      <c r="AH22" s="380"/>
      <c r="AI22" s="381"/>
      <c r="AJ22" s="377" t="str">
        <f>IF(TRIM(AI22)="", "", IF(VLOOKUP(AI22,'Footnotes list'!$D$9:$E$58,2,FALSE)=0,"",VLOOKUP(AI22,'Footnotes list'!$D$9:$E$58,2,FALSE) ) )</f>
        <v/>
      </c>
      <c r="AK22" s="126" t="str">
        <f>IF(AND(TRIM(AK20)="",TRIM(AK21)=""),"",AK20+AK21)</f>
        <v/>
      </c>
      <c r="AL22" s="379"/>
      <c r="AM22" s="380"/>
      <c r="AN22" s="381"/>
      <c r="AO22" s="377" t="str">
        <f>IF(TRIM(AN22)="", "", IF(VLOOKUP(AN22,'Footnotes list'!$D$9:$E$58,2,FALSE)=0,"",VLOOKUP(AN22,'Footnotes list'!$D$9:$E$58,2,FALSE) ) )</f>
        <v/>
      </c>
      <c r="AP22" s="126" t="str">
        <f>IF(AND(TRIM(AP20)="", TRIM(AP21)=""), "", SUM(AP20,AP21))</f>
        <v/>
      </c>
      <c r="AQ22" s="379"/>
      <c r="AR22" s="380"/>
      <c r="AS22" s="381"/>
      <c r="AT22" s="377" t="str">
        <f>IF(TRIM(AS22)="", "", IF(VLOOKUP(AS22,'Footnotes list'!$D$9:$E$58,2,FALSE)=0,"",VLOOKUP(AS22,'Footnotes list'!$D$9:$E$58,2,FALSE) ) )</f>
        <v/>
      </c>
      <c r="AU22" s="126" t="str">
        <f>IF(AND(TRIM(AU20)="", TRIM(AU21)=""), "", SUM(AU20,AU21) )</f>
        <v/>
      </c>
      <c r="AV22" s="379"/>
      <c r="AW22" s="380"/>
      <c r="AX22" s="381"/>
      <c r="AY22" s="377" t="str">
        <f>IF(TRIM(AX22)="", "", IF(VLOOKUP(AX22,'Footnotes list'!$D$9:$E$58,2,FALSE)=0,"",VLOOKUP(AX22,'Footnotes list'!$D$9:$E$58,2,FALSE) ) )</f>
        <v/>
      </c>
    </row>
    <row r="23" spans="2:51" ht="15" customHeight="1" x14ac:dyDescent="0.35">
      <c r="B23" s="534" t="s">
        <v>115</v>
      </c>
      <c r="C23" s="41" t="s">
        <v>115</v>
      </c>
      <c r="D23" s="528" t="s">
        <v>157</v>
      </c>
      <c r="E23" s="42" t="s">
        <v>144</v>
      </c>
      <c r="F23" s="43" t="s">
        <v>151</v>
      </c>
      <c r="G23" s="372"/>
      <c r="H23" s="373"/>
      <c r="I23" s="374"/>
      <c r="J23" s="375"/>
      <c r="K23" s="376" t="str">
        <f>IF(TRIM(J23)="", "", IF(VLOOKUP(J23,'Footnotes list'!$D$9:$E$58,2,FALSE)=0,"",VLOOKUP(J23,'Footnotes list'!$D$9:$E$58,2,FALSE) ) )</f>
        <v/>
      </c>
      <c r="L23" s="372"/>
      <c r="M23" s="373"/>
      <c r="N23" s="374"/>
      <c r="O23" s="375"/>
      <c r="P23" s="376" t="str">
        <f>IF(TRIM(O23)="", "", IF(VLOOKUP(O23,'Footnotes list'!$D$9:$E$58,2,FALSE)=0,"",VLOOKUP(O23,'Footnotes list'!$D$9:$E$58,2,FALSE) ) )</f>
        <v/>
      </c>
      <c r="Q23" s="372"/>
      <c r="R23" s="373"/>
      <c r="S23" s="374"/>
      <c r="T23" s="375"/>
      <c r="U23" s="376" t="str">
        <f>IF(TRIM(T23)="", "", IF(VLOOKUP(T23,'Footnotes list'!$D$9:$E$58,2,FALSE)=0,"",VLOOKUP(T23,'Footnotes list'!$D$9:$E$58,2,FALSE) ) )</f>
        <v/>
      </c>
      <c r="V23" s="372"/>
      <c r="W23" s="373"/>
      <c r="X23" s="374"/>
      <c r="Y23" s="375"/>
      <c r="Z23" s="376" t="str">
        <f>IF(TRIM(Y23)="", "", IF(VLOOKUP(Y23,'Footnotes list'!$D$9:$E$58,2,FALSE)=0,"",VLOOKUP(Y23,'Footnotes list'!$D$9:$E$58,2,FALSE) ) )</f>
        <v/>
      </c>
      <c r="AA23" s="382" t="str">
        <f>IF(AND(TRIM(Q23)="",TRIM(V23)=""),"",Q23+V23)</f>
        <v/>
      </c>
      <c r="AB23" s="373"/>
      <c r="AC23" s="374"/>
      <c r="AD23" s="375"/>
      <c r="AE23" s="376" t="str">
        <f>IF(TRIM(AD23)="", "", IF(VLOOKUP(AD23,'Footnotes list'!$D$9:$E$58,2,FALSE)=0,"",VLOOKUP(AD23,'Footnotes list'!$D$9:$E$58,2,FALSE) ) )</f>
        <v/>
      </c>
      <c r="AF23" s="372"/>
      <c r="AG23" s="373"/>
      <c r="AH23" s="374"/>
      <c r="AI23" s="375"/>
      <c r="AJ23" s="376" t="str">
        <f>IF(TRIM(AI23)="", "", IF(VLOOKUP(AI23,'Footnotes list'!$D$9:$E$58,2,FALSE)=0,"",VLOOKUP(AI23,'Footnotes list'!$D$9:$E$58,2,FALSE) ) )</f>
        <v/>
      </c>
      <c r="AK23" s="372"/>
      <c r="AL23" s="373"/>
      <c r="AM23" s="374"/>
      <c r="AN23" s="375"/>
      <c r="AO23" s="376" t="str">
        <f>IF(TRIM(AN23)="", "", IF(VLOOKUP(AN23,'Footnotes list'!$D$9:$E$58,2,FALSE)=0,"",VLOOKUP(AN23,'Footnotes list'!$D$9:$E$58,2,FALSE) ) )</f>
        <v/>
      </c>
      <c r="AP23" s="382" t="str">
        <f>IF(AND(TRIM(AF23)="",TRIM(AK23)=""),"",AF23+AK23)</f>
        <v/>
      </c>
      <c r="AQ23" s="373"/>
      <c r="AR23" s="374"/>
      <c r="AS23" s="375"/>
      <c r="AT23" s="376" t="str">
        <f>IF(TRIM(AS23)="", "", IF(VLOOKUP(AS23,'Footnotes list'!$D$9:$E$58,2,FALSE)=0,"",VLOOKUP(AS23,'Footnotes list'!$D$9:$E$58,2,FALSE) ) )</f>
        <v/>
      </c>
      <c r="AU23" s="382" t="str">
        <f>IF(AND(TRIM(G23)="",TRIM(L23)="",TRIM(AA23)="",TRIM(AP23)=""),"",SUM(G23,L23,AA23,AP23))</f>
        <v/>
      </c>
      <c r="AV23" s="373"/>
      <c r="AW23" s="374"/>
      <c r="AX23" s="375"/>
      <c r="AY23" s="376" t="str">
        <f>IF(TRIM(AX23)="", "", IF(VLOOKUP(AX23,'Footnotes list'!$D$9:$E$58,2,FALSE)=0,"",VLOOKUP(AX23,'Footnotes list'!$D$9:$E$58,2,FALSE) ) )</f>
        <v/>
      </c>
    </row>
    <row r="24" spans="2:51" ht="15" customHeight="1" x14ac:dyDescent="0.35">
      <c r="B24" s="535"/>
      <c r="C24" s="50" t="s">
        <v>115</v>
      </c>
      <c r="D24" s="529"/>
      <c r="E24" s="51" t="s">
        <v>145</v>
      </c>
      <c r="F24" s="52" t="s">
        <v>152</v>
      </c>
      <c r="G24" s="378"/>
      <c r="H24" s="379"/>
      <c r="I24" s="380"/>
      <c r="J24" s="381"/>
      <c r="K24" s="377" t="str">
        <f>IF(TRIM(J24)="", "", IF(VLOOKUP(J24,'Footnotes list'!$D$9:$E$58,2,FALSE)=0,"",VLOOKUP(J24,'Footnotes list'!$D$9:$E$58,2,FALSE) ) )</f>
        <v/>
      </c>
      <c r="L24" s="378"/>
      <c r="M24" s="379"/>
      <c r="N24" s="380"/>
      <c r="O24" s="381"/>
      <c r="P24" s="377" t="str">
        <f>IF(TRIM(O24)="", "", IF(VLOOKUP(O24,'Footnotes list'!$D$9:$E$58,2,FALSE)=0,"",VLOOKUP(O24,'Footnotes list'!$D$9:$E$58,2,FALSE) ) )</f>
        <v/>
      </c>
      <c r="Q24" s="378"/>
      <c r="R24" s="379"/>
      <c r="S24" s="380"/>
      <c r="T24" s="381"/>
      <c r="U24" s="377" t="str">
        <f>IF(TRIM(T24)="", "", IF(VLOOKUP(T24,'Footnotes list'!$D$9:$E$58,2,FALSE)=0,"",VLOOKUP(T24,'Footnotes list'!$D$9:$E$58,2,FALSE) ) )</f>
        <v/>
      </c>
      <c r="V24" s="378"/>
      <c r="W24" s="379"/>
      <c r="X24" s="380"/>
      <c r="Y24" s="381"/>
      <c r="Z24" s="377" t="str">
        <f>IF(TRIM(Y24)="", "", IF(VLOOKUP(Y24,'Footnotes list'!$D$9:$E$58,2,FALSE)=0,"",VLOOKUP(Y24,'Footnotes list'!$D$9:$E$58,2,FALSE) ) )</f>
        <v/>
      </c>
      <c r="AA24" s="129" t="str">
        <f>IF(AND(TRIM(Q24)="",TRIM(V24)=""),"",Q24+V24)</f>
        <v/>
      </c>
      <c r="AB24" s="379"/>
      <c r="AC24" s="380"/>
      <c r="AD24" s="381"/>
      <c r="AE24" s="377" t="str">
        <f>IF(TRIM(AD24)="", "", IF(VLOOKUP(AD24,'Footnotes list'!$D$9:$E$58,2,FALSE)=0,"",VLOOKUP(AD24,'Footnotes list'!$D$9:$E$58,2,FALSE) ) )</f>
        <v/>
      </c>
      <c r="AF24" s="378"/>
      <c r="AG24" s="379"/>
      <c r="AH24" s="380"/>
      <c r="AI24" s="381"/>
      <c r="AJ24" s="377" t="str">
        <f>IF(TRIM(AI24)="", "", IF(VLOOKUP(AI24,'Footnotes list'!$D$9:$E$58,2,FALSE)=0,"",VLOOKUP(AI24,'Footnotes list'!$D$9:$E$58,2,FALSE) ) )</f>
        <v/>
      </c>
      <c r="AK24" s="378"/>
      <c r="AL24" s="379"/>
      <c r="AM24" s="380"/>
      <c r="AN24" s="381"/>
      <c r="AO24" s="377" t="str">
        <f>IF(TRIM(AN24)="", "", IF(VLOOKUP(AN24,'Footnotes list'!$D$9:$E$58,2,FALSE)=0,"",VLOOKUP(AN24,'Footnotes list'!$D$9:$E$58,2,FALSE) ) )</f>
        <v/>
      </c>
      <c r="AP24" s="129" t="str">
        <f>IF(AND(TRIM(AF24)="",TRIM(AK24)=""),"",AF24+AK24)</f>
        <v/>
      </c>
      <c r="AQ24" s="379"/>
      <c r="AR24" s="380"/>
      <c r="AS24" s="381"/>
      <c r="AT24" s="377" t="str">
        <f>IF(TRIM(AS24)="", "", IF(VLOOKUP(AS24,'Footnotes list'!$D$9:$E$58,2,FALSE)=0,"",VLOOKUP(AS24,'Footnotes list'!$D$9:$E$58,2,FALSE) ) )</f>
        <v/>
      </c>
      <c r="AU24" s="403" t="str">
        <f>IF(AND(TRIM(G24)="",TRIM(L24)="",TRIM(AA24)="",TRIM(AP24)=""),"",SUM(G24,L24,AA24,AP24))</f>
        <v/>
      </c>
      <c r="AV24" s="379"/>
      <c r="AW24" s="380"/>
      <c r="AX24" s="381"/>
      <c r="AY24" s="377" t="str">
        <f>IF(TRIM(AX24)="", "", IF(VLOOKUP(AX24,'Footnotes list'!$D$9:$E$58,2,FALSE)=0,"",VLOOKUP(AX24,'Footnotes list'!$D$9:$E$58,2,FALSE) ) )</f>
        <v/>
      </c>
    </row>
    <row r="25" spans="2:51" ht="15" customHeight="1" thickBot="1" x14ac:dyDescent="0.4">
      <c r="B25" s="536"/>
      <c r="C25" s="53" t="s">
        <v>115</v>
      </c>
      <c r="D25" s="530"/>
      <c r="E25" s="47" t="s">
        <v>146</v>
      </c>
      <c r="F25" s="54" t="s">
        <v>234</v>
      </c>
      <c r="G25" s="126" t="str">
        <f>IF(AND(TRIM(G23)="",TRIM(G24)=""),"",G23+G24)</f>
        <v/>
      </c>
      <c r="H25" s="379"/>
      <c r="I25" s="380"/>
      <c r="J25" s="381"/>
      <c r="K25" s="377" t="str">
        <f>IF(TRIM(J25)="", "", IF(VLOOKUP(J25,'Footnotes list'!$D$9:$E$58,2,FALSE)=0,"",VLOOKUP(J25,'Footnotes list'!$D$9:$E$58,2,FALSE) ) )</f>
        <v/>
      </c>
      <c r="L25" s="126" t="str">
        <f>IF(AND(TRIM(L23)="",TRIM(L24)=""),"",L23+L24)</f>
        <v/>
      </c>
      <c r="M25" s="379"/>
      <c r="N25" s="380"/>
      <c r="O25" s="381"/>
      <c r="P25" s="377" t="str">
        <f>IF(TRIM(O25)="", "", IF(VLOOKUP(O25,'Footnotes list'!$D$9:$E$58,2,FALSE)=0,"",VLOOKUP(O25,'Footnotes list'!$D$9:$E$58,2,FALSE) ) )</f>
        <v/>
      </c>
      <c r="Q25" s="126" t="str">
        <f>IF(AND(TRIM(Q23)="",TRIM(Q24)=""),"",Q23+Q24)</f>
        <v/>
      </c>
      <c r="R25" s="379"/>
      <c r="S25" s="380"/>
      <c r="T25" s="381"/>
      <c r="U25" s="377" t="str">
        <f>IF(TRIM(T25)="", "", IF(VLOOKUP(T25,'Footnotes list'!$D$9:$E$58,2,FALSE)=0,"",VLOOKUP(T25,'Footnotes list'!$D$9:$E$58,2,FALSE) ) )</f>
        <v/>
      </c>
      <c r="V25" s="126" t="str">
        <f>IF(AND(TRIM(V23)="",TRIM(V24)=""),"",V23+V24)</f>
        <v/>
      </c>
      <c r="W25" s="379"/>
      <c r="X25" s="380"/>
      <c r="Y25" s="381"/>
      <c r="Z25" s="377" t="str">
        <f>IF(TRIM(Y25)="", "", IF(VLOOKUP(Y25,'Footnotes list'!$D$9:$E$58,2,FALSE)=0,"",VLOOKUP(Y25,'Footnotes list'!$D$9:$E$58,2,FALSE) ) )</f>
        <v/>
      </c>
      <c r="AA25" s="126" t="str">
        <f>IF(AND(TRIM(AA23)="", TRIM(AA24)=""), "", SUM(AA23,AA24))</f>
        <v/>
      </c>
      <c r="AB25" s="379"/>
      <c r="AC25" s="380"/>
      <c r="AD25" s="381"/>
      <c r="AE25" s="377" t="str">
        <f>IF(TRIM(AD25)="", "", IF(VLOOKUP(AD25,'Footnotes list'!$D$9:$E$58,2,FALSE)=0,"",VLOOKUP(AD25,'Footnotes list'!$D$9:$E$58,2,FALSE) ) )</f>
        <v/>
      </c>
      <c r="AF25" s="126" t="str">
        <f>IF(AND(TRIM(AF23)="",TRIM(AF24)=""),"",AF23+AF24)</f>
        <v/>
      </c>
      <c r="AG25" s="379"/>
      <c r="AH25" s="380"/>
      <c r="AI25" s="381"/>
      <c r="AJ25" s="377" t="str">
        <f>IF(TRIM(AI25)="", "", IF(VLOOKUP(AI25,'Footnotes list'!$D$9:$E$58,2,FALSE)=0,"",VLOOKUP(AI25,'Footnotes list'!$D$9:$E$58,2,FALSE) ) )</f>
        <v/>
      </c>
      <c r="AK25" s="126" t="str">
        <f>IF(AND(TRIM(AK23)="",TRIM(AK24)=""),"",AK23+AK24)</f>
        <v/>
      </c>
      <c r="AL25" s="379"/>
      <c r="AM25" s="380"/>
      <c r="AN25" s="381"/>
      <c r="AO25" s="377" t="str">
        <f>IF(TRIM(AN25)="", "", IF(VLOOKUP(AN25,'Footnotes list'!$D$9:$E$58,2,FALSE)=0,"",VLOOKUP(AN25,'Footnotes list'!$D$9:$E$58,2,FALSE) ) )</f>
        <v/>
      </c>
      <c r="AP25" s="126" t="str">
        <f>IF(AND(TRIM(AP23)="", TRIM(AP24)=""), "", SUM(AP23,AP24))</f>
        <v/>
      </c>
      <c r="AQ25" s="379"/>
      <c r="AR25" s="380"/>
      <c r="AS25" s="381"/>
      <c r="AT25" s="377" t="str">
        <f>IF(TRIM(AS25)="", "", IF(VLOOKUP(AS25,'Footnotes list'!$D$9:$E$58,2,FALSE)=0,"",VLOOKUP(AS25,'Footnotes list'!$D$9:$E$58,2,FALSE) ) )</f>
        <v/>
      </c>
      <c r="AU25" s="126" t="str">
        <f>IF(AND(TRIM(AU23)="", TRIM(AU24)=""), "", SUM(AU23,AU24) )</f>
        <v/>
      </c>
      <c r="AV25" s="379"/>
      <c r="AW25" s="380"/>
      <c r="AX25" s="381"/>
      <c r="AY25" s="377" t="str">
        <f>IF(TRIM(AX25)="", "", IF(VLOOKUP(AX25,'Footnotes list'!$D$9:$E$58,2,FALSE)=0,"",VLOOKUP(AX25,'Footnotes list'!$D$9:$E$58,2,FALSE) ) )</f>
        <v/>
      </c>
    </row>
    <row r="26" spans="2:51" ht="15" customHeight="1" x14ac:dyDescent="0.35">
      <c r="B26" s="534" t="s">
        <v>116</v>
      </c>
      <c r="C26" s="41" t="s">
        <v>116</v>
      </c>
      <c r="D26" s="528" t="s">
        <v>83</v>
      </c>
      <c r="E26" s="42" t="s">
        <v>144</v>
      </c>
      <c r="F26" s="43" t="s">
        <v>151</v>
      </c>
      <c r="G26" s="372"/>
      <c r="H26" s="373"/>
      <c r="I26" s="374"/>
      <c r="J26" s="375"/>
      <c r="K26" s="376" t="str">
        <f>IF(TRIM(J26)="", "", IF(VLOOKUP(J26,'Footnotes list'!$D$9:$E$58,2,FALSE)=0,"",VLOOKUP(J26,'Footnotes list'!$D$9:$E$58,2,FALSE) ) )</f>
        <v/>
      </c>
      <c r="L26" s="372"/>
      <c r="M26" s="373"/>
      <c r="N26" s="374"/>
      <c r="O26" s="375"/>
      <c r="P26" s="376" t="str">
        <f>IF(TRIM(O26)="", "", IF(VLOOKUP(O26,'Footnotes list'!$D$9:$E$58,2,FALSE)=0,"",VLOOKUP(O26,'Footnotes list'!$D$9:$E$58,2,FALSE) ) )</f>
        <v/>
      </c>
      <c r="Q26" s="372"/>
      <c r="R26" s="373"/>
      <c r="S26" s="374"/>
      <c r="T26" s="375"/>
      <c r="U26" s="376" t="str">
        <f>IF(TRIM(T26)="", "", IF(VLOOKUP(T26,'Footnotes list'!$D$9:$E$58,2,FALSE)=0,"",VLOOKUP(T26,'Footnotes list'!$D$9:$E$58,2,FALSE) ) )</f>
        <v/>
      </c>
      <c r="V26" s="372"/>
      <c r="W26" s="373"/>
      <c r="X26" s="374"/>
      <c r="Y26" s="375"/>
      <c r="Z26" s="376" t="str">
        <f>IF(TRIM(Y26)="", "", IF(VLOOKUP(Y26,'Footnotes list'!$D$9:$E$58,2,FALSE)=0,"",VLOOKUP(Y26,'Footnotes list'!$D$9:$E$58,2,FALSE) ) )</f>
        <v/>
      </c>
      <c r="AA26" s="382" t="str">
        <f>IF(AND(TRIM(Q26)="",TRIM(V26)=""),"",Q26+V26)</f>
        <v/>
      </c>
      <c r="AB26" s="373"/>
      <c r="AC26" s="374"/>
      <c r="AD26" s="375"/>
      <c r="AE26" s="376" t="str">
        <f>IF(TRIM(AD26)="", "", IF(VLOOKUP(AD26,'Footnotes list'!$D$9:$E$58,2,FALSE)=0,"",VLOOKUP(AD26,'Footnotes list'!$D$9:$E$58,2,FALSE) ) )</f>
        <v/>
      </c>
      <c r="AF26" s="372"/>
      <c r="AG26" s="373"/>
      <c r="AH26" s="374"/>
      <c r="AI26" s="375"/>
      <c r="AJ26" s="376" t="str">
        <f>IF(TRIM(AI26)="", "", IF(VLOOKUP(AI26,'Footnotes list'!$D$9:$E$58,2,FALSE)=0,"",VLOOKUP(AI26,'Footnotes list'!$D$9:$E$58,2,FALSE) ) )</f>
        <v/>
      </c>
      <c r="AK26" s="372"/>
      <c r="AL26" s="373"/>
      <c r="AM26" s="374"/>
      <c r="AN26" s="375"/>
      <c r="AO26" s="376" t="str">
        <f>IF(TRIM(AN26)="", "", IF(VLOOKUP(AN26,'Footnotes list'!$D$9:$E$58,2,FALSE)=0,"",VLOOKUP(AN26,'Footnotes list'!$D$9:$E$58,2,FALSE) ) )</f>
        <v/>
      </c>
      <c r="AP26" s="382" t="str">
        <f>IF(AND(TRIM(AF26)="",TRIM(AK26)=""),"",AF26+AK26)</f>
        <v/>
      </c>
      <c r="AQ26" s="373"/>
      <c r="AR26" s="374"/>
      <c r="AS26" s="375"/>
      <c r="AT26" s="376" t="str">
        <f>IF(TRIM(AS26)="", "", IF(VLOOKUP(AS26,'Footnotes list'!$D$9:$E$58,2,FALSE)=0,"",VLOOKUP(AS26,'Footnotes list'!$D$9:$E$58,2,FALSE) ) )</f>
        <v/>
      </c>
      <c r="AU26" s="382" t="str">
        <f>IF(AND(TRIM(G26)="",TRIM(L26)="",TRIM(AA26)="",TRIM(AP26)=""),"",SUM(G26,L26,AA26,AP26))</f>
        <v/>
      </c>
      <c r="AV26" s="373"/>
      <c r="AW26" s="374"/>
      <c r="AX26" s="375"/>
      <c r="AY26" s="376" t="str">
        <f>IF(TRIM(AX26)="", "", IF(VLOOKUP(AX26,'Footnotes list'!$D$9:$E$58,2,FALSE)=0,"",VLOOKUP(AX26,'Footnotes list'!$D$9:$E$58,2,FALSE) ) )</f>
        <v/>
      </c>
    </row>
    <row r="27" spans="2:51" ht="15" customHeight="1" x14ac:dyDescent="0.35">
      <c r="B27" s="535"/>
      <c r="C27" s="50" t="s">
        <v>116</v>
      </c>
      <c r="D27" s="529"/>
      <c r="E27" s="51" t="s">
        <v>145</v>
      </c>
      <c r="F27" s="52" t="s">
        <v>152</v>
      </c>
      <c r="G27" s="378"/>
      <c r="H27" s="379"/>
      <c r="I27" s="380"/>
      <c r="J27" s="381"/>
      <c r="K27" s="377" t="str">
        <f>IF(TRIM(J27)="", "", IF(VLOOKUP(J27,'Footnotes list'!$D$9:$E$58,2,FALSE)=0,"",VLOOKUP(J27,'Footnotes list'!$D$9:$E$58,2,FALSE) ) )</f>
        <v/>
      </c>
      <c r="L27" s="378"/>
      <c r="M27" s="379"/>
      <c r="N27" s="380"/>
      <c r="O27" s="381"/>
      <c r="P27" s="377" t="str">
        <f>IF(TRIM(O27)="", "", IF(VLOOKUP(O27,'Footnotes list'!$D$9:$E$58,2,FALSE)=0,"",VLOOKUP(O27,'Footnotes list'!$D$9:$E$58,2,FALSE) ) )</f>
        <v/>
      </c>
      <c r="Q27" s="378"/>
      <c r="R27" s="379"/>
      <c r="S27" s="380"/>
      <c r="T27" s="381"/>
      <c r="U27" s="377" t="str">
        <f>IF(TRIM(T27)="", "", IF(VLOOKUP(T27,'Footnotes list'!$D$9:$E$58,2,FALSE)=0,"",VLOOKUP(T27,'Footnotes list'!$D$9:$E$58,2,FALSE) ) )</f>
        <v/>
      </c>
      <c r="V27" s="378"/>
      <c r="W27" s="379"/>
      <c r="X27" s="380"/>
      <c r="Y27" s="381"/>
      <c r="Z27" s="377" t="str">
        <f>IF(TRIM(Y27)="", "", IF(VLOOKUP(Y27,'Footnotes list'!$D$9:$E$58,2,FALSE)=0,"",VLOOKUP(Y27,'Footnotes list'!$D$9:$E$58,2,FALSE) ) )</f>
        <v/>
      </c>
      <c r="AA27" s="129" t="str">
        <f>IF(AND(TRIM(Q27)="",TRIM(V27)=""),"",Q27+V27)</f>
        <v/>
      </c>
      <c r="AB27" s="379"/>
      <c r="AC27" s="380"/>
      <c r="AD27" s="381"/>
      <c r="AE27" s="377" t="str">
        <f>IF(TRIM(AD27)="", "", IF(VLOOKUP(AD27,'Footnotes list'!$D$9:$E$58,2,FALSE)=0,"",VLOOKUP(AD27,'Footnotes list'!$D$9:$E$58,2,FALSE) ) )</f>
        <v/>
      </c>
      <c r="AF27" s="378"/>
      <c r="AG27" s="379"/>
      <c r="AH27" s="380"/>
      <c r="AI27" s="381"/>
      <c r="AJ27" s="377" t="str">
        <f>IF(TRIM(AI27)="", "", IF(VLOOKUP(AI27,'Footnotes list'!$D$9:$E$58,2,FALSE)=0,"",VLOOKUP(AI27,'Footnotes list'!$D$9:$E$58,2,FALSE) ) )</f>
        <v/>
      </c>
      <c r="AK27" s="378"/>
      <c r="AL27" s="379"/>
      <c r="AM27" s="380"/>
      <c r="AN27" s="381"/>
      <c r="AO27" s="377" t="str">
        <f>IF(TRIM(AN27)="", "", IF(VLOOKUP(AN27,'Footnotes list'!$D$9:$E$58,2,FALSE)=0,"",VLOOKUP(AN27,'Footnotes list'!$D$9:$E$58,2,FALSE) ) )</f>
        <v/>
      </c>
      <c r="AP27" s="129" t="str">
        <f>IF(AND(TRIM(AF27)="",TRIM(AK27)=""),"",AF27+AK27)</f>
        <v/>
      </c>
      <c r="AQ27" s="379"/>
      <c r="AR27" s="380"/>
      <c r="AS27" s="381"/>
      <c r="AT27" s="377" t="str">
        <f>IF(TRIM(AS27)="", "", IF(VLOOKUP(AS27,'Footnotes list'!$D$9:$E$58,2,FALSE)=0,"",VLOOKUP(AS27,'Footnotes list'!$D$9:$E$58,2,FALSE) ) )</f>
        <v/>
      </c>
      <c r="AU27" s="403" t="str">
        <f>IF(AND(TRIM(G27)="",TRIM(L27)="",TRIM(AA27)="",TRIM(AP27)=""),"",SUM(G27,L27,AA27,AP27))</f>
        <v/>
      </c>
      <c r="AV27" s="379"/>
      <c r="AW27" s="380"/>
      <c r="AX27" s="381"/>
      <c r="AY27" s="377" t="str">
        <f>IF(TRIM(AX27)="", "", IF(VLOOKUP(AX27,'Footnotes list'!$D$9:$E$58,2,FALSE)=0,"",VLOOKUP(AX27,'Footnotes list'!$D$9:$E$58,2,FALSE) ) )</f>
        <v/>
      </c>
    </row>
    <row r="28" spans="2:51" ht="15" customHeight="1" thickBot="1" x14ac:dyDescent="0.4">
      <c r="B28" s="536"/>
      <c r="C28" s="53" t="s">
        <v>116</v>
      </c>
      <c r="D28" s="530"/>
      <c r="E28" s="47" t="s">
        <v>146</v>
      </c>
      <c r="F28" s="54" t="s">
        <v>234</v>
      </c>
      <c r="G28" s="126" t="str">
        <f>IF(AND(TRIM(G26)="",TRIM(G27)=""),"",G26+G27)</f>
        <v/>
      </c>
      <c r="H28" s="379"/>
      <c r="I28" s="380"/>
      <c r="J28" s="381"/>
      <c r="K28" s="377" t="str">
        <f>IF(TRIM(J28)="", "", IF(VLOOKUP(J28,'Footnotes list'!$D$9:$E$58,2,FALSE)=0,"",VLOOKUP(J28,'Footnotes list'!$D$9:$E$58,2,FALSE) ) )</f>
        <v/>
      </c>
      <c r="L28" s="126" t="str">
        <f>IF(AND(TRIM(L26)="",TRIM(L27)=""),"",L26+L27)</f>
        <v/>
      </c>
      <c r="M28" s="379"/>
      <c r="N28" s="380"/>
      <c r="O28" s="381"/>
      <c r="P28" s="377" t="str">
        <f>IF(TRIM(O28)="", "", IF(VLOOKUP(O28,'Footnotes list'!$D$9:$E$58,2,FALSE)=0,"",VLOOKUP(O28,'Footnotes list'!$D$9:$E$58,2,FALSE) ) )</f>
        <v/>
      </c>
      <c r="Q28" s="126" t="str">
        <f>IF(AND(TRIM(Q26)="",TRIM(Q27)=""),"",Q26+Q27)</f>
        <v/>
      </c>
      <c r="R28" s="379"/>
      <c r="S28" s="380"/>
      <c r="T28" s="381"/>
      <c r="U28" s="377" t="str">
        <f>IF(TRIM(T28)="", "", IF(VLOOKUP(T28,'Footnotes list'!$D$9:$E$58,2,FALSE)=0,"",VLOOKUP(T28,'Footnotes list'!$D$9:$E$58,2,FALSE) ) )</f>
        <v/>
      </c>
      <c r="V28" s="126" t="str">
        <f>IF(AND(TRIM(V26)="",TRIM(V27)=""),"",V26+V27)</f>
        <v/>
      </c>
      <c r="W28" s="379"/>
      <c r="X28" s="380"/>
      <c r="Y28" s="381"/>
      <c r="Z28" s="377" t="str">
        <f>IF(TRIM(Y28)="", "", IF(VLOOKUP(Y28,'Footnotes list'!$D$9:$E$58,2,FALSE)=0,"",VLOOKUP(Y28,'Footnotes list'!$D$9:$E$58,2,FALSE) ) )</f>
        <v/>
      </c>
      <c r="AA28" s="126" t="str">
        <f>IF(AND(TRIM(AA26)="", TRIM(AA27)=""), "", SUM(AA26,AA27))</f>
        <v/>
      </c>
      <c r="AB28" s="379"/>
      <c r="AC28" s="380"/>
      <c r="AD28" s="381"/>
      <c r="AE28" s="377" t="str">
        <f>IF(TRIM(AD28)="", "", IF(VLOOKUP(AD28,'Footnotes list'!$D$9:$E$58,2,FALSE)=0,"",VLOOKUP(AD28,'Footnotes list'!$D$9:$E$58,2,FALSE) ) )</f>
        <v/>
      </c>
      <c r="AF28" s="126" t="str">
        <f>IF(AND(TRIM(AF26)="",TRIM(AF27)=""),"",AF26+AF27)</f>
        <v/>
      </c>
      <c r="AG28" s="379"/>
      <c r="AH28" s="380"/>
      <c r="AI28" s="381"/>
      <c r="AJ28" s="377" t="str">
        <f>IF(TRIM(AI28)="", "", IF(VLOOKUP(AI28,'Footnotes list'!$D$9:$E$58,2,FALSE)=0,"",VLOOKUP(AI28,'Footnotes list'!$D$9:$E$58,2,FALSE) ) )</f>
        <v/>
      </c>
      <c r="AK28" s="126" t="str">
        <f>IF(AND(TRIM(AK26)="",TRIM(AK27)=""),"",AK26+AK27)</f>
        <v/>
      </c>
      <c r="AL28" s="379"/>
      <c r="AM28" s="380"/>
      <c r="AN28" s="381"/>
      <c r="AO28" s="377" t="str">
        <f>IF(TRIM(AN28)="", "", IF(VLOOKUP(AN28,'Footnotes list'!$D$9:$E$58,2,FALSE)=0,"",VLOOKUP(AN28,'Footnotes list'!$D$9:$E$58,2,FALSE) ) )</f>
        <v/>
      </c>
      <c r="AP28" s="126" t="str">
        <f>IF(AND(TRIM(AP26)="", TRIM(AP27)=""), "", SUM(AP26,AP27))</f>
        <v/>
      </c>
      <c r="AQ28" s="379"/>
      <c r="AR28" s="380"/>
      <c r="AS28" s="381"/>
      <c r="AT28" s="377" t="str">
        <f>IF(TRIM(AS28)="", "", IF(VLOOKUP(AS28,'Footnotes list'!$D$9:$E$58,2,FALSE)=0,"",VLOOKUP(AS28,'Footnotes list'!$D$9:$E$58,2,FALSE) ) )</f>
        <v/>
      </c>
      <c r="AU28" s="126" t="str">
        <f>IF(AND(TRIM(AU26)="", TRIM(AU27)=""), "", SUM(AU26,AU27) )</f>
        <v/>
      </c>
      <c r="AV28" s="379"/>
      <c r="AW28" s="380"/>
      <c r="AX28" s="381"/>
      <c r="AY28" s="377" t="str">
        <f>IF(TRIM(AX28)="", "", IF(VLOOKUP(AX28,'Footnotes list'!$D$9:$E$58,2,FALSE)=0,"",VLOOKUP(AX28,'Footnotes list'!$D$9:$E$58,2,FALSE) ) )</f>
        <v/>
      </c>
    </row>
    <row r="29" spans="2:51" ht="15" customHeight="1" thickBot="1" x14ac:dyDescent="0.4">
      <c r="B29" s="534" t="s">
        <v>117</v>
      </c>
      <c r="C29" s="55"/>
      <c r="D29" s="528" t="s">
        <v>84</v>
      </c>
      <c r="E29" s="55"/>
      <c r="F29" s="45" t="s">
        <v>233</v>
      </c>
      <c r="G29" s="125"/>
      <c r="H29" s="26"/>
      <c r="I29" s="26"/>
      <c r="J29" s="26"/>
      <c r="K29" s="27"/>
      <c r="L29" s="125"/>
      <c r="M29" s="26"/>
      <c r="N29" s="26"/>
      <c r="O29" s="26"/>
      <c r="P29" s="27"/>
      <c r="Q29" s="125"/>
      <c r="R29" s="26"/>
      <c r="S29" s="26"/>
      <c r="T29" s="26"/>
      <c r="U29" s="27"/>
      <c r="V29" s="125"/>
      <c r="W29" s="26"/>
      <c r="X29" s="26"/>
      <c r="Y29" s="26"/>
      <c r="Z29" s="27"/>
      <c r="AA29" s="125"/>
      <c r="AB29" s="26"/>
      <c r="AC29" s="26"/>
      <c r="AD29" s="26"/>
      <c r="AE29" s="27"/>
      <c r="AF29" s="125"/>
      <c r="AG29" s="26"/>
      <c r="AH29" s="26"/>
      <c r="AI29" s="26"/>
      <c r="AJ29" s="27"/>
      <c r="AK29" s="125"/>
      <c r="AL29" s="26"/>
      <c r="AM29" s="26"/>
      <c r="AN29" s="26"/>
      <c r="AO29" s="27"/>
      <c r="AP29" s="125"/>
      <c r="AQ29" s="26"/>
      <c r="AR29" s="26"/>
      <c r="AS29" s="26"/>
      <c r="AT29" s="27"/>
      <c r="AU29" s="125"/>
      <c r="AV29" s="26"/>
      <c r="AW29" s="26"/>
      <c r="AX29" s="26"/>
      <c r="AY29" s="27"/>
    </row>
    <row r="30" spans="2:51" ht="15" customHeight="1" x14ac:dyDescent="0.35">
      <c r="B30" s="535"/>
      <c r="C30" s="50" t="s">
        <v>117</v>
      </c>
      <c r="D30" s="529"/>
      <c r="E30" s="51" t="s">
        <v>145</v>
      </c>
      <c r="F30" s="52" t="s">
        <v>152</v>
      </c>
      <c r="G30" s="378"/>
      <c r="H30" s="379"/>
      <c r="I30" s="380"/>
      <c r="J30" s="381"/>
      <c r="K30" s="377" t="str">
        <f>IF(TRIM(J30)="", "", IF(VLOOKUP(J30,'Footnotes list'!$D$9:$E$58,2,FALSE)=0,"",VLOOKUP(J30,'Footnotes list'!$D$9:$E$58,2,FALSE) ) )</f>
        <v/>
      </c>
      <c r="L30" s="378"/>
      <c r="M30" s="379"/>
      <c r="N30" s="380"/>
      <c r="O30" s="381"/>
      <c r="P30" s="377" t="str">
        <f>IF(TRIM(O30)="", "", IF(VLOOKUP(O30,'Footnotes list'!$D$9:$E$58,2,FALSE)=0,"",VLOOKUP(O30,'Footnotes list'!$D$9:$E$58,2,FALSE) ) )</f>
        <v/>
      </c>
      <c r="Q30" s="378"/>
      <c r="R30" s="379"/>
      <c r="S30" s="380"/>
      <c r="T30" s="381"/>
      <c r="U30" s="377" t="str">
        <f>IF(TRIM(T30)="", "", IF(VLOOKUP(T30,'Footnotes list'!$D$9:$E$58,2,FALSE)=0,"",VLOOKUP(T30,'Footnotes list'!$D$9:$E$58,2,FALSE) ) )</f>
        <v/>
      </c>
      <c r="V30" s="378"/>
      <c r="W30" s="379"/>
      <c r="X30" s="380"/>
      <c r="Y30" s="381"/>
      <c r="Z30" s="377" t="str">
        <f>IF(TRIM(Y30)="", "", IF(VLOOKUP(Y30,'Footnotes list'!$D$9:$E$58,2,FALSE)=0,"",VLOOKUP(Y30,'Footnotes list'!$D$9:$E$58,2,FALSE) ) )</f>
        <v/>
      </c>
      <c r="AA30" s="129" t="str">
        <f>IF(AND(TRIM(Q30)="",TRIM(V30)=""),"",Q30+V30)</f>
        <v/>
      </c>
      <c r="AB30" s="379"/>
      <c r="AC30" s="380"/>
      <c r="AD30" s="381"/>
      <c r="AE30" s="377" t="str">
        <f>IF(TRIM(AD30)="", "", IF(VLOOKUP(AD30,'Footnotes list'!$D$9:$E$58,2,FALSE)=0,"",VLOOKUP(AD30,'Footnotes list'!$D$9:$E$58,2,FALSE) ) )</f>
        <v/>
      </c>
      <c r="AF30" s="378"/>
      <c r="AG30" s="379"/>
      <c r="AH30" s="380"/>
      <c r="AI30" s="381"/>
      <c r="AJ30" s="377" t="str">
        <f>IF(TRIM(AI30)="", "", IF(VLOOKUP(AI30,'Footnotes list'!$D$9:$E$58,2,FALSE)=0,"",VLOOKUP(AI30,'Footnotes list'!$D$9:$E$58,2,FALSE) ) )</f>
        <v/>
      </c>
      <c r="AK30" s="378"/>
      <c r="AL30" s="379"/>
      <c r="AM30" s="380"/>
      <c r="AN30" s="381"/>
      <c r="AO30" s="377" t="str">
        <f>IF(TRIM(AN30)="", "", IF(VLOOKUP(AN30,'Footnotes list'!$D$9:$E$58,2,FALSE)=0,"",VLOOKUP(AN30,'Footnotes list'!$D$9:$E$58,2,FALSE) ) )</f>
        <v/>
      </c>
      <c r="AP30" s="129" t="str">
        <f>IF(AND(TRIM(AF30)="",TRIM(AK30)=""),"",AF30+AK30)</f>
        <v/>
      </c>
      <c r="AQ30" s="379"/>
      <c r="AR30" s="380"/>
      <c r="AS30" s="381"/>
      <c r="AT30" s="377" t="str">
        <f>IF(TRIM(AS30)="", "", IF(VLOOKUP(AS30,'Footnotes list'!$D$9:$E$58,2,FALSE)=0,"",VLOOKUP(AS30,'Footnotes list'!$D$9:$E$58,2,FALSE) ) )</f>
        <v/>
      </c>
      <c r="AU30" s="403" t="str">
        <f>IF(AND(TRIM(G30)="",TRIM(L30)="",TRIM(AA30)="",TRIM(AP30)=""),"",SUM(G30,L30,AA30,AP30))</f>
        <v/>
      </c>
      <c r="AV30" s="379"/>
      <c r="AW30" s="380"/>
      <c r="AX30" s="381"/>
      <c r="AY30" s="377" t="str">
        <f>IF(TRIM(AX30)="", "", IF(VLOOKUP(AX30,'Footnotes list'!$D$9:$E$58,2,FALSE)=0,"",VLOOKUP(AX30,'Footnotes list'!$D$9:$E$58,2,FALSE) ) )</f>
        <v/>
      </c>
    </row>
    <row r="31" spans="2:51" ht="15" customHeight="1" thickBot="1" x14ac:dyDescent="0.4">
      <c r="B31" s="536"/>
      <c r="C31" s="53" t="s">
        <v>117</v>
      </c>
      <c r="D31" s="530"/>
      <c r="E31" s="47" t="s">
        <v>146</v>
      </c>
      <c r="F31" s="54" t="s">
        <v>234</v>
      </c>
      <c r="G31" s="126" t="str">
        <f>IF(AND(TRIM(G29)="",TRIM(G30)=""),"",G29+G30)</f>
        <v/>
      </c>
      <c r="H31" s="379"/>
      <c r="I31" s="380"/>
      <c r="J31" s="381"/>
      <c r="K31" s="377" t="str">
        <f>IF(TRIM(J31)="", "", IF(VLOOKUP(J31,'Footnotes list'!$D$9:$E$58,2,FALSE)=0,"",VLOOKUP(J31,'Footnotes list'!$D$9:$E$58,2,FALSE) ) )</f>
        <v/>
      </c>
      <c r="L31" s="126" t="str">
        <f>IF(AND(TRIM(L29)="",TRIM(L30)=""),"",L29+L30)</f>
        <v/>
      </c>
      <c r="M31" s="379"/>
      <c r="N31" s="380"/>
      <c r="O31" s="381"/>
      <c r="P31" s="377" t="str">
        <f>IF(TRIM(O31)="", "", IF(VLOOKUP(O31,'Footnotes list'!$D$9:$E$58,2,FALSE)=0,"",VLOOKUP(O31,'Footnotes list'!$D$9:$E$58,2,FALSE) ) )</f>
        <v/>
      </c>
      <c r="Q31" s="126" t="str">
        <f>IF(AND(TRIM(Q29)="",TRIM(Q30)=""),"",Q29+Q30)</f>
        <v/>
      </c>
      <c r="R31" s="379"/>
      <c r="S31" s="380"/>
      <c r="T31" s="381"/>
      <c r="U31" s="377" t="str">
        <f>IF(TRIM(T31)="", "", IF(VLOOKUP(T31,'Footnotes list'!$D$9:$E$58,2,FALSE)=0,"",VLOOKUP(T31,'Footnotes list'!$D$9:$E$58,2,FALSE) ) )</f>
        <v/>
      </c>
      <c r="V31" s="126" t="str">
        <f>IF(AND(TRIM(V29)="",TRIM(V30)=""),"",V29+V30)</f>
        <v/>
      </c>
      <c r="W31" s="379"/>
      <c r="X31" s="380"/>
      <c r="Y31" s="381"/>
      <c r="Z31" s="377" t="str">
        <f>IF(TRIM(Y31)="", "", IF(VLOOKUP(Y31,'Footnotes list'!$D$9:$E$58,2,FALSE)=0,"",VLOOKUP(Y31,'Footnotes list'!$D$9:$E$58,2,FALSE) ) )</f>
        <v/>
      </c>
      <c r="AA31" s="126" t="str">
        <f>IF(AND(TRIM(AA29)="", TRIM(AA30)=""), "", SUM(AA29,AA30))</f>
        <v/>
      </c>
      <c r="AB31" s="379"/>
      <c r="AC31" s="380"/>
      <c r="AD31" s="381"/>
      <c r="AE31" s="377" t="str">
        <f>IF(TRIM(AD31)="", "", IF(VLOOKUP(AD31,'Footnotes list'!$D$9:$E$58,2,FALSE)=0,"",VLOOKUP(AD31,'Footnotes list'!$D$9:$E$58,2,FALSE) ) )</f>
        <v/>
      </c>
      <c r="AF31" s="126" t="str">
        <f>IF(AND(TRIM(AF29)="",TRIM(AF30)=""),"",AF29+AF30)</f>
        <v/>
      </c>
      <c r="AG31" s="379"/>
      <c r="AH31" s="380"/>
      <c r="AI31" s="381"/>
      <c r="AJ31" s="377" t="str">
        <f>IF(TRIM(AI31)="", "", IF(VLOOKUP(AI31,'Footnotes list'!$D$9:$E$58,2,FALSE)=0,"",VLOOKUP(AI31,'Footnotes list'!$D$9:$E$58,2,FALSE) ) )</f>
        <v/>
      </c>
      <c r="AK31" s="126" t="str">
        <f>IF(AND(TRIM(AK29)="",TRIM(AK30)=""),"",AK29+AK30)</f>
        <v/>
      </c>
      <c r="AL31" s="379"/>
      <c r="AM31" s="380"/>
      <c r="AN31" s="381"/>
      <c r="AO31" s="377" t="str">
        <f>IF(TRIM(AN31)="", "", IF(VLOOKUP(AN31,'Footnotes list'!$D$9:$E$58,2,FALSE)=0,"",VLOOKUP(AN31,'Footnotes list'!$D$9:$E$58,2,FALSE) ) )</f>
        <v/>
      </c>
      <c r="AP31" s="126" t="str">
        <f>IF(AND(TRIM(AP29)="", TRIM(AP30)=""), "", SUM(AP29,AP30))</f>
        <v/>
      </c>
      <c r="AQ31" s="379"/>
      <c r="AR31" s="380"/>
      <c r="AS31" s="381"/>
      <c r="AT31" s="377" t="str">
        <f>IF(TRIM(AS31)="", "", IF(VLOOKUP(AS31,'Footnotes list'!$D$9:$E$58,2,FALSE)=0,"",VLOOKUP(AS31,'Footnotes list'!$D$9:$E$58,2,FALSE) ) )</f>
        <v/>
      </c>
      <c r="AU31" s="126" t="str">
        <f>IF(AND(TRIM(AU29)="", TRIM(AU30)=""), "", SUM(AU29,AU30) )</f>
        <v/>
      </c>
      <c r="AV31" s="379"/>
      <c r="AW31" s="380"/>
      <c r="AX31" s="381"/>
      <c r="AY31" s="377" t="str">
        <f>IF(TRIM(AX31)="", "", IF(VLOOKUP(AX31,'Footnotes list'!$D$9:$E$58,2,FALSE)=0,"",VLOOKUP(AX31,'Footnotes list'!$D$9:$E$58,2,FALSE) ) )</f>
        <v/>
      </c>
    </row>
    <row r="32" spans="2:51" ht="15" customHeight="1" thickBot="1" x14ac:dyDescent="0.4">
      <c r="B32" s="534" t="s">
        <v>118</v>
      </c>
      <c r="C32" s="55"/>
      <c r="D32" s="528" t="s">
        <v>85</v>
      </c>
      <c r="E32" s="55"/>
      <c r="F32" s="45" t="s">
        <v>233</v>
      </c>
      <c r="G32" s="125"/>
      <c r="H32" s="26"/>
      <c r="I32" s="26"/>
      <c r="J32" s="26"/>
      <c r="K32" s="27"/>
      <c r="L32" s="125"/>
      <c r="M32" s="26"/>
      <c r="N32" s="26"/>
      <c r="O32" s="26"/>
      <c r="P32" s="27"/>
      <c r="Q32" s="125"/>
      <c r="R32" s="26"/>
      <c r="S32" s="26"/>
      <c r="T32" s="26"/>
      <c r="U32" s="27"/>
      <c r="V32" s="125"/>
      <c r="W32" s="26"/>
      <c r="X32" s="26"/>
      <c r="Y32" s="26"/>
      <c r="Z32" s="27"/>
      <c r="AA32" s="125"/>
      <c r="AB32" s="26"/>
      <c r="AC32" s="26"/>
      <c r="AD32" s="26"/>
      <c r="AE32" s="27"/>
      <c r="AF32" s="125"/>
      <c r="AG32" s="26"/>
      <c r="AH32" s="26"/>
      <c r="AI32" s="26"/>
      <c r="AJ32" s="27"/>
      <c r="AK32" s="125"/>
      <c r="AL32" s="26"/>
      <c r="AM32" s="26"/>
      <c r="AN32" s="26"/>
      <c r="AO32" s="27"/>
      <c r="AP32" s="125"/>
      <c r="AQ32" s="26"/>
      <c r="AR32" s="26"/>
      <c r="AS32" s="26"/>
      <c r="AT32" s="27"/>
      <c r="AU32" s="125"/>
      <c r="AV32" s="26"/>
      <c r="AW32" s="26"/>
      <c r="AX32" s="26"/>
      <c r="AY32" s="27"/>
    </row>
    <row r="33" spans="2:51" ht="15" customHeight="1" x14ac:dyDescent="0.35">
      <c r="B33" s="535"/>
      <c r="C33" s="50" t="s">
        <v>118</v>
      </c>
      <c r="D33" s="529"/>
      <c r="E33" s="51" t="s">
        <v>145</v>
      </c>
      <c r="F33" s="52" t="s">
        <v>152</v>
      </c>
      <c r="G33" s="378"/>
      <c r="H33" s="379"/>
      <c r="I33" s="380"/>
      <c r="J33" s="381"/>
      <c r="K33" s="377" t="str">
        <f>IF(TRIM(J33)="", "", IF(VLOOKUP(J33,'Footnotes list'!$D$9:$E$58,2,FALSE)=0,"",VLOOKUP(J33,'Footnotes list'!$D$9:$E$58,2,FALSE) ) )</f>
        <v/>
      </c>
      <c r="L33" s="378"/>
      <c r="M33" s="379"/>
      <c r="N33" s="380"/>
      <c r="O33" s="381"/>
      <c r="P33" s="377" t="str">
        <f>IF(TRIM(O33)="", "", IF(VLOOKUP(O33,'Footnotes list'!$D$9:$E$58,2,FALSE)=0,"",VLOOKUP(O33,'Footnotes list'!$D$9:$E$58,2,FALSE) ) )</f>
        <v/>
      </c>
      <c r="Q33" s="378"/>
      <c r="R33" s="379"/>
      <c r="S33" s="380"/>
      <c r="T33" s="381"/>
      <c r="U33" s="377" t="str">
        <f>IF(TRIM(T33)="", "", IF(VLOOKUP(T33,'Footnotes list'!$D$9:$E$58,2,FALSE)=0,"",VLOOKUP(T33,'Footnotes list'!$D$9:$E$58,2,FALSE) ) )</f>
        <v/>
      </c>
      <c r="V33" s="378"/>
      <c r="W33" s="379"/>
      <c r="X33" s="380"/>
      <c r="Y33" s="381"/>
      <c r="Z33" s="377" t="str">
        <f>IF(TRIM(Y33)="", "", IF(VLOOKUP(Y33,'Footnotes list'!$D$9:$E$58,2,FALSE)=0,"",VLOOKUP(Y33,'Footnotes list'!$D$9:$E$58,2,FALSE) ) )</f>
        <v/>
      </c>
      <c r="AA33" s="129" t="str">
        <f>IF(AND(TRIM(Q33)="",TRIM(V33)=""),"",Q33+V33)</f>
        <v/>
      </c>
      <c r="AB33" s="379"/>
      <c r="AC33" s="380"/>
      <c r="AD33" s="381"/>
      <c r="AE33" s="377" t="str">
        <f>IF(TRIM(AD33)="", "", IF(VLOOKUP(AD33,'Footnotes list'!$D$9:$E$58,2,FALSE)=0,"",VLOOKUP(AD33,'Footnotes list'!$D$9:$E$58,2,FALSE) ) )</f>
        <v/>
      </c>
      <c r="AF33" s="378"/>
      <c r="AG33" s="379"/>
      <c r="AH33" s="380"/>
      <c r="AI33" s="381"/>
      <c r="AJ33" s="377" t="str">
        <f>IF(TRIM(AI33)="", "", IF(VLOOKUP(AI33,'Footnotes list'!$D$9:$E$58,2,FALSE)=0,"",VLOOKUP(AI33,'Footnotes list'!$D$9:$E$58,2,FALSE) ) )</f>
        <v/>
      </c>
      <c r="AK33" s="378"/>
      <c r="AL33" s="379"/>
      <c r="AM33" s="380"/>
      <c r="AN33" s="381"/>
      <c r="AO33" s="377" t="str">
        <f>IF(TRIM(AN33)="", "", IF(VLOOKUP(AN33,'Footnotes list'!$D$9:$E$58,2,FALSE)=0,"",VLOOKUP(AN33,'Footnotes list'!$D$9:$E$58,2,FALSE) ) )</f>
        <v/>
      </c>
      <c r="AP33" s="129" t="str">
        <f>IF(AND(TRIM(AF33)="",TRIM(AK33)=""),"",AF33+AK33)</f>
        <v/>
      </c>
      <c r="AQ33" s="379"/>
      <c r="AR33" s="380"/>
      <c r="AS33" s="381"/>
      <c r="AT33" s="377" t="str">
        <f>IF(TRIM(AS33)="", "", IF(VLOOKUP(AS33,'Footnotes list'!$D$9:$E$58,2,FALSE)=0,"",VLOOKUP(AS33,'Footnotes list'!$D$9:$E$58,2,FALSE) ) )</f>
        <v/>
      </c>
      <c r="AU33" s="403" t="str">
        <f>IF(AND(TRIM(G33)="",TRIM(L33)="",TRIM(AA33)="",TRIM(AP33)=""),"",SUM(G33,L33,AA33,AP33))</f>
        <v/>
      </c>
      <c r="AV33" s="379"/>
      <c r="AW33" s="380"/>
      <c r="AX33" s="381"/>
      <c r="AY33" s="377" t="str">
        <f>IF(TRIM(AX33)="", "", IF(VLOOKUP(AX33,'Footnotes list'!$D$9:$E$58,2,FALSE)=0,"",VLOOKUP(AX33,'Footnotes list'!$D$9:$E$58,2,FALSE) ) )</f>
        <v/>
      </c>
    </row>
    <row r="34" spans="2:51" ht="15" customHeight="1" thickBot="1" x14ac:dyDescent="0.4">
      <c r="B34" s="536"/>
      <c r="C34" s="53" t="s">
        <v>118</v>
      </c>
      <c r="D34" s="530"/>
      <c r="E34" s="47" t="s">
        <v>146</v>
      </c>
      <c r="F34" s="54" t="s">
        <v>234</v>
      </c>
      <c r="G34" s="126" t="str">
        <f>IF(AND(TRIM(G32)="",TRIM(G33)=""),"",G32+G33)</f>
        <v/>
      </c>
      <c r="H34" s="379"/>
      <c r="I34" s="380"/>
      <c r="J34" s="381"/>
      <c r="K34" s="377" t="str">
        <f>IF(TRIM(J34)="", "", IF(VLOOKUP(J34,'Footnotes list'!$D$9:$E$58,2,FALSE)=0,"",VLOOKUP(J34,'Footnotes list'!$D$9:$E$58,2,FALSE) ) )</f>
        <v/>
      </c>
      <c r="L34" s="126" t="str">
        <f>IF(AND(TRIM(L32)="",TRIM(L33)=""),"",L32+L33)</f>
        <v/>
      </c>
      <c r="M34" s="379"/>
      <c r="N34" s="380"/>
      <c r="O34" s="381"/>
      <c r="P34" s="377" t="str">
        <f>IF(TRIM(O34)="", "", IF(VLOOKUP(O34,'Footnotes list'!$D$9:$E$58,2,FALSE)=0,"",VLOOKUP(O34,'Footnotes list'!$D$9:$E$58,2,FALSE) ) )</f>
        <v/>
      </c>
      <c r="Q34" s="126" t="str">
        <f>IF(AND(TRIM(Q32)="",TRIM(Q33)=""),"",Q32+Q33)</f>
        <v/>
      </c>
      <c r="R34" s="379"/>
      <c r="S34" s="380"/>
      <c r="T34" s="381"/>
      <c r="U34" s="377" t="str">
        <f>IF(TRIM(T34)="", "", IF(VLOOKUP(T34,'Footnotes list'!$D$9:$E$58,2,FALSE)=0,"",VLOOKUP(T34,'Footnotes list'!$D$9:$E$58,2,FALSE) ) )</f>
        <v/>
      </c>
      <c r="V34" s="126" t="str">
        <f>IF(AND(TRIM(V32)="",TRIM(V33)=""),"",V32+V33)</f>
        <v/>
      </c>
      <c r="W34" s="379"/>
      <c r="X34" s="380"/>
      <c r="Y34" s="381"/>
      <c r="Z34" s="377" t="str">
        <f>IF(TRIM(Y34)="", "", IF(VLOOKUP(Y34,'Footnotes list'!$D$9:$E$58,2,FALSE)=0,"",VLOOKUP(Y34,'Footnotes list'!$D$9:$E$58,2,FALSE) ) )</f>
        <v/>
      </c>
      <c r="AA34" s="126" t="str">
        <f>IF(AND(TRIM(AA32)="", TRIM(AA33)=""), "", SUM(AA32,AA33))</f>
        <v/>
      </c>
      <c r="AB34" s="379"/>
      <c r="AC34" s="380"/>
      <c r="AD34" s="381"/>
      <c r="AE34" s="377" t="str">
        <f>IF(TRIM(AD34)="", "", IF(VLOOKUP(AD34,'Footnotes list'!$D$9:$E$58,2,FALSE)=0,"",VLOOKUP(AD34,'Footnotes list'!$D$9:$E$58,2,FALSE) ) )</f>
        <v/>
      </c>
      <c r="AF34" s="126" t="str">
        <f>IF(AND(TRIM(AF32)="",TRIM(AF33)=""),"",AF32+AF33)</f>
        <v/>
      </c>
      <c r="AG34" s="379"/>
      <c r="AH34" s="380"/>
      <c r="AI34" s="381"/>
      <c r="AJ34" s="377" t="str">
        <f>IF(TRIM(AI34)="", "", IF(VLOOKUP(AI34,'Footnotes list'!$D$9:$E$58,2,FALSE)=0,"",VLOOKUP(AI34,'Footnotes list'!$D$9:$E$58,2,FALSE) ) )</f>
        <v/>
      </c>
      <c r="AK34" s="126" t="str">
        <f>IF(AND(TRIM(AK32)="",TRIM(AK33)=""),"",AK32+AK33)</f>
        <v/>
      </c>
      <c r="AL34" s="379"/>
      <c r="AM34" s="380"/>
      <c r="AN34" s="381"/>
      <c r="AO34" s="377" t="str">
        <f>IF(TRIM(AN34)="", "", IF(VLOOKUP(AN34,'Footnotes list'!$D$9:$E$58,2,FALSE)=0,"",VLOOKUP(AN34,'Footnotes list'!$D$9:$E$58,2,FALSE) ) )</f>
        <v/>
      </c>
      <c r="AP34" s="126" t="str">
        <f>IF(AND(TRIM(AP32)="", TRIM(AP33)=""), "", SUM(AP32,AP33))</f>
        <v/>
      </c>
      <c r="AQ34" s="379"/>
      <c r="AR34" s="380"/>
      <c r="AS34" s="381"/>
      <c r="AT34" s="377" t="str">
        <f>IF(TRIM(AS34)="", "", IF(VLOOKUP(AS34,'Footnotes list'!$D$9:$E$58,2,FALSE)=0,"",VLOOKUP(AS34,'Footnotes list'!$D$9:$E$58,2,FALSE) ) )</f>
        <v/>
      </c>
      <c r="AU34" s="126" t="str">
        <f>IF(AND(TRIM(AU32)="", TRIM(AU33)=""), "", SUM(AU32,AU33) )</f>
        <v/>
      </c>
      <c r="AV34" s="379"/>
      <c r="AW34" s="380"/>
      <c r="AX34" s="381"/>
      <c r="AY34" s="377" t="str">
        <f>IF(TRIM(AX34)="", "", IF(VLOOKUP(AX34,'Footnotes list'!$D$9:$E$58,2,FALSE)=0,"",VLOOKUP(AX34,'Footnotes list'!$D$9:$E$58,2,FALSE) ) )</f>
        <v/>
      </c>
    </row>
    <row r="35" spans="2:51" ht="15" customHeight="1" thickBot="1" x14ac:dyDescent="0.4">
      <c r="B35" s="534" t="s">
        <v>119</v>
      </c>
      <c r="C35" s="55"/>
      <c r="D35" s="528" t="s">
        <v>158</v>
      </c>
      <c r="E35" s="55"/>
      <c r="F35" s="45" t="s">
        <v>233</v>
      </c>
      <c r="G35" s="125"/>
      <c r="H35" s="133"/>
      <c r="I35" s="134"/>
      <c r="J35" s="135"/>
      <c r="K35" s="136"/>
      <c r="L35" s="125"/>
      <c r="M35" s="133"/>
      <c r="N35" s="134"/>
      <c r="O35" s="135"/>
      <c r="P35" s="136"/>
      <c r="Q35" s="125"/>
      <c r="R35" s="133"/>
      <c r="S35" s="134"/>
      <c r="T35" s="135"/>
      <c r="U35" s="136"/>
      <c r="V35" s="125"/>
      <c r="W35" s="133"/>
      <c r="X35" s="134"/>
      <c r="Y35" s="135"/>
      <c r="Z35" s="136"/>
      <c r="AA35" s="125"/>
      <c r="AB35" s="133"/>
      <c r="AC35" s="134"/>
      <c r="AD35" s="135"/>
      <c r="AE35" s="136"/>
      <c r="AF35" s="125"/>
      <c r="AG35" s="133"/>
      <c r="AH35" s="134"/>
      <c r="AI35" s="135"/>
      <c r="AJ35" s="136"/>
      <c r="AK35" s="125"/>
      <c r="AL35" s="133"/>
      <c r="AM35" s="134"/>
      <c r="AN35" s="135"/>
      <c r="AO35" s="136"/>
      <c r="AP35" s="125"/>
      <c r="AQ35" s="133"/>
      <c r="AR35" s="134"/>
      <c r="AS35" s="135"/>
      <c r="AT35" s="136"/>
      <c r="AU35" s="125"/>
      <c r="AV35" s="133"/>
      <c r="AW35" s="134"/>
      <c r="AX35" s="135"/>
      <c r="AY35" s="136"/>
    </row>
    <row r="36" spans="2:51" ht="15" customHeight="1" x14ac:dyDescent="0.35">
      <c r="B36" s="535"/>
      <c r="C36" s="50" t="s">
        <v>119</v>
      </c>
      <c r="D36" s="529"/>
      <c r="E36" s="51" t="s">
        <v>145</v>
      </c>
      <c r="F36" s="52" t="s">
        <v>152</v>
      </c>
      <c r="G36" s="378"/>
      <c r="H36" s="379"/>
      <c r="I36" s="380"/>
      <c r="J36" s="381"/>
      <c r="K36" s="377" t="str">
        <f>IF(TRIM(J36)="", "", IF(VLOOKUP(J36,'Footnotes list'!$D$9:$E$58,2,FALSE)=0,"",VLOOKUP(J36,'Footnotes list'!$D$9:$E$58,2,FALSE) ) )</f>
        <v/>
      </c>
      <c r="L36" s="378"/>
      <c r="M36" s="379"/>
      <c r="N36" s="380"/>
      <c r="O36" s="381"/>
      <c r="P36" s="377" t="str">
        <f>IF(TRIM(O36)="", "", IF(VLOOKUP(O36,'Footnotes list'!$D$9:$E$58,2,FALSE)=0,"",VLOOKUP(O36,'Footnotes list'!$D$9:$E$58,2,FALSE) ) )</f>
        <v/>
      </c>
      <c r="Q36" s="378"/>
      <c r="R36" s="379"/>
      <c r="S36" s="380"/>
      <c r="T36" s="381"/>
      <c r="U36" s="377" t="str">
        <f>IF(TRIM(T36)="", "", IF(VLOOKUP(T36,'Footnotes list'!$D$9:$E$58,2,FALSE)=0,"",VLOOKUP(T36,'Footnotes list'!$D$9:$E$58,2,FALSE) ) )</f>
        <v/>
      </c>
      <c r="V36" s="378"/>
      <c r="W36" s="379"/>
      <c r="X36" s="380"/>
      <c r="Y36" s="381"/>
      <c r="Z36" s="377" t="str">
        <f>IF(TRIM(Y36)="", "", IF(VLOOKUP(Y36,'Footnotes list'!$D$9:$E$58,2,FALSE)=0,"",VLOOKUP(Y36,'Footnotes list'!$D$9:$E$58,2,FALSE) ) )</f>
        <v/>
      </c>
      <c r="AA36" s="129" t="str">
        <f>IF(AND(TRIM(Q36)="",TRIM(V36)=""),"",Q36+V36)</f>
        <v/>
      </c>
      <c r="AB36" s="379"/>
      <c r="AC36" s="380"/>
      <c r="AD36" s="381"/>
      <c r="AE36" s="377" t="str">
        <f>IF(TRIM(AD36)="", "", IF(VLOOKUP(AD36,'Footnotes list'!$D$9:$E$58,2,FALSE)=0,"",VLOOKUP(AD36,'Footnotes list'!$D$9:$E$58,2,FALSE) ) )</f>
        <v/>
      </c>
      <c r="AF36" s="378"/>
      <c r="AG36" s="379"/>
      <c r="AH36" s="380"/>
      <c r="AI36" s="381"/>
      <c r="AJ36" s="377" t="str">
        <f>IF(TRIM(AI36)="", "", IF(VLOOKUP(AI36,'Footnotes list'!$D$9:$E$58,2,FALSE)=0,"",VLOOKUP(AI36,'Footnotes list'!$D$9:$E$58,2,FALSE) ) )</f>
        <v/>
      </c>
      <c r="AK36" s="378"/>
      <c r="AL36" s="379"/>
      <c r="AM36" s="380"/>
      <c r="AN36" s="381"/>
      <c r="AO36" s="377" t="str">
        <f>IF(TRIM(AN36)="", "", IF(VLOOKUP(AN36,'Footnotes list'!$D$9:$E$58,2,FALSE)=0,"",VLOOKUP(AN36,'Footnotes list'!$D$9:$E$58,2,FALSE) ) )</f>
        <v/>
      </c>
      <c r="AP36" s="129" t="str">
        <f>IF(AND(TRIM(AF36)="",TRIM(AK36)=""),"",AF36+AK36)</f>
        <v/>
      </c>
      <c r="AQ36" s="379"/>
      <c r="AR36" s="380"/>
      <c r="AS36" s="381"/>
      <c r="AT36" s="377" t="str">
        <f>IF(TRIM(AS36)="", "", IF(VLOOKUP(AS36,'Footnotes list'!$D$9:$E$58,2,FALSE)=0,"",VLOOKUP(AS36,'Footnotes list'!$D$9:$E$58,2,FALSE) ) )</f>
        <v/>
      </c>
      <c r="AU36" s="403" t="str">
        <f>IF(AND(TRIM(G36)="",TRIM(L36)="",TRIM(AA36)="",TRIM(AP36)=""),"",SUM(G36,L36,AA36,AP36))</f>
        <v/>
      </c>
      <c r="AV36" s="379"/>
      <c r="AW36" s="380"/>
      <c r="AX36" s="381"/>
      <c r="AY36" s="377" t="str">
        <f>IF(TRIM(AX36)="", "", IF(VLOOKUP(AX36,'Footnotes list'!$D$9:$E$58,2,FALSE)=0,"",VLOOKUP(AX36,'Footnotes list'!$D$9:$E$58,2,FALSE) ) )</f>
        <v/>
      </c>
    </row>
    <row r="37" spans="2:51" ht="15" customHeight="1" thickBot="1" x14ac:dyDescent="0.4">
      <c r="B37" s="536"/>
      <c r="C37" s="53" t="s">
        <v>119</v>
      </c>
      <c r="D37" s="530"/>
      <c r="E37" s="47" t="s">
        <v>146</v>
      </c>
      <c r="F37" s="54" t="s">
        <v>234</v>
      </c>
      <c r="G37" s="126" t="str">
        <f>IF(AND(TRIM(G35)="",TRIM(G36)=""),"",G35+G36)</f>
        <v/>
      </c>
      <c r="H37" s="379"/>
      <c r="I37" s="380"/>
      <c r="J37" s="381"/>
      <c r="K37" s="377" t="str">
        <f>IF(TRIM(J37)="", "", IF(VLOOKUP(J37,'Footnotes list'!$D$9:$E$58,2,FALSE)=0,"",VLOOKUP(J37,'Footnotes list'!$D$9:$E$58,2,FALSE) ) )</f>
        <v/>
      </c>
      <c r="L37" s="126" t="str">
        <f>IF(AND(TRIM(L35)="",TRIM(L36)=""),"",L35+L36)</f>
        <v/>
      </c>
      <c r="M37" s="379"/>
      <c r="N37" s="380"/>
      <c r="O37" s="381"/>
      <c r="P37" s="377" t="str">
        <f>IF(TRIM(O37)="", "", IF(VLOOKUP(O37,'Footnotes list'!$D$9:$E$58,2,FALSE)=0,"",VLOOKUP(O37,'Footnotes list'!$D$9:$E$58,2,FALSE) ) )</f>
        <v/>
      </c>
      <c r="Q37" s="126" t="str">
        <f>IF(AND(TRIM(Q35)="",TRIM(Q36)=""),"",Q35+Q36)</f>
        <v/>
      </c>
      <c r="R37" s="379"/>
      <c r="S37" s="380"/>
      <c r="T37" s="381"/>
      <c r="U37" s="377" t="str">
        <f>IF(TRIM(T37)="", "", IF(VLOOKUP(T37,'Footnotes list'!$D$9:$E$58,2,FALSE)=0,"",VLOOKUP(T37,'Footnotes list'!$D$9:$E$58,2,FALSE) ) )</f>
        <v/>
      </c>
      <c r="V37" s="126" t="str">
        <f>IF(AND(TRIM(V35)="",TRIM(V36)=""),"",V35+V36)</f>
        <v/>
      </c>
      <c r="W37" s="379"/>
      <c r="X37" s="380"/>
      <c r="Y37" s="381"/>
      <c r="Z37" s="377" t="str">
        <f>IF(TRIM(Y37)="", "", IF(VLOOKUP(Y37,'Footnotes list'!$D$9:$E$58,2,FALSE)=0,"",VLOOKUP(Y37,'Footnotes list'!$D$9:$E$58,2,FALSE) ) )</f>
        <v/>
      </c>
      <c r="AA37" s="126" t="str">
        <f>IF(AND(TRIM(AA35)="", TRIM(AA36)=""), "", SUM(AA35,AA36))</f>
        <v/>
      </c>
      <c r="AB37" s="379"/>
      <c r="AC37" s="380"/>
      <c r="AD37" s="381"/>
      <c r="AE37" s="377" t="str">
        <f>IF(TRIM(AD37)="", "", IF(VLOOKUP(AD37,'Footnotes list'!$D$9:$E$58,2,FALSE)=0,"",VLOOKUP(AD37,'Footnotes list'!$D$9:$E$58,2,FALSE) ) )</f>
        <v/>
      </c>
      <c r="AF37" s="126" t="str">
        <f>IF(AND(TRIM(AF35)="",TRIM(AF36)=""),"",AF35+AF36)</f>
        <v/>
      </c>
      <c r="AG37" s="379"/>
      <c r="AH37" s="380"/>
      <c r="AI37" s="381"/>
      <c r="AJ37" s="377" t="str">
        <f>IF(TRIM(AI37)="", "", IF(VLOOKUP(AI37,'Footnotes list'!$D$9:$E$58,2,FALSE)=0,"",VLOOKUP(AI37,'Footnotes list'!$D$9:$E$58,2,FALSE) ) )</f>
        <v/>
      </c>
      <c r="AK37" s="126" t="str">
        <f>IF(AND(TRIM(AK35)="",TRIM(AK36)=""),"",AK35+AK36)</f>
        <v/>
      </c>
      <c r="AL37" s="379"/>
      <c r="AM37" s="380"/>
      <c r="AN37" s="381"/>
      <c r="AO37" s="377" t="str">
        <f>IF(TRIM(AN37)="", "", IF(VLOOKUP(AN37,'Footnotes list'!$D$9:$E$58,2,FALSE)=0,"",VLOOKUP(AN37,'Footnotes list'!$D$9:$E$58,2,FALSE) ) )</f>
        <v/>
      </c>
      <c r="AP37" s="126" t="str">
        <f>IF(AND(TRIM(AP35)="", TRIM(AP36)=""), "", SUM(AP35,AP36))</f>
        <v/>
      </c>
      <c r="AQ37" s="379"/>
      <c r="AR37" s="380"/>
      <c r="AS37" s="381"/>
      <c r="AT37" s="377" t="str">
        <f>IF(TRIM(AS37)="", "", IF(VLOOKUP(AS37,'Footnotes list'!$D$9:$E$58,2,FALSE)=0,"",VLOOKUP(AS37,'Footnotes list'!$D$9:$E$58,2,FALSE) ) )</f>
        <v/>
      </c>
      <c r="AU37" s="126" t="str">
        <f>IF(AND(TRIM(AU35)="", TRIM(AU36)=""), "", SUM(AU35,AU36) )</f>
        <v/>
      </c>
      <c r="AV37" s="379"/>
      <c r="AW37" s="380"/>
      <c r="AX37" s="381"/>
      <c r="AY37" s="377" t="str">
        <f>IF(TRIM(AX37)="", "", IF(VLOOKUP(AX37,'Footnotes list'!$D$9:$E$58,2,FALSE)=0,"",VLOOKUP(AX37,'Footnotes list'!$D$9:$E$58,2,FALSE) ) )</f>
        <v/>
      </c>
    </row>
    <row r="38" spans="2:51" ht="15" customHeight="1" x14ac:dyDescent="0.35">
      <c r="B38" s="534" t="s">
        <v>120</v>
      </c>
      <c r="C38" s="41" t="s">
        <v>120</v>
      </c>
      <c r="D38" s="528" t="s">
        <v>86</v>
      </c>
      <c r="E38" s="42" t="s">
        <v>144</v>
      </c>
      <c r="F38" s="43" t="s">
        <v>151</v>
      </c>
      <c r="G38" s="372"/>
      <c r="H38" s="373"/>
      <c r="I38" s="374"/>
      <c r="J38" s="375"/>
      <c r="K38" s="376" t="str">
        <f>IF(TRIM(J38)="", "", IF(VLOOKUP(J38,'Footnotes list'!$D$9:$E$58,2,FALSE)=0,"",VLOOKUP(J38,'Footnotes list'!$D$9:$E$58,2,FALSE) ) )</f>
        <v/>
      </c>
      <c r="L38" s="372"/>
      <c r="M38" s="373"/>
      <c r="N38" s="374"/>
      <c r="O38" s="375"/>
      <c r="P38" s="376" t="str">
        <f>IF(TRIM(O38)="", "", IF(VLOOKUP(O38,'Footnotes list'!$D$9:$E$58,2,FALSE)=0,"",VLOOKUP(O38,'Footnotes list'!$D$9:$E$58,2,FALSE) ) )</f>
        <v/>
      </c>
      <c r="Q38" s="372"/>
      <c r="R38" s="373"/>
      <c r="S38" s="374"/>
      <c r="T38" s="375"/>
      <c r="U38" s="376" t="str">
        <f>IF(TRIM(T38)="", "", IF(VLOOKUP(T38,'Footnotes list'!$D$9:$E$58,2,FALSE)=0,"",VLOOKUP(T38,'Footnotes list'!$D$9:$E$58,2,FALSE) ) )</f>
        <v/>
      </c>
      <c r="V38" s="372"/>
      <c r="W38" s="373"/>
      <c r="X38" s="374"/>
      <c r="Y38" s="375"/>
      <c r="Z38" s="376" t="str">
        <f>IF(TRIM(Y38)="", "", IF(VLOOKUP(Y38,'Footnotes list'!$D$9:$E$58,2,FALSE)=0,"",VLOOKUP(Y38,'Footnotes list'!$D$9:$E$58,2,FALSE) ) )</f>
        <v/>
      </c>
      <c r="AA38" s="382" t="str">
        <f>IF(AND(TRIM(Q38)="",TRIM(V38)=""),"",Q38+V38)</f>
        <v/>
      </c>
      <c r="AB38" s="373"/>
      <c r="AC38" s="374"/>
      <c r="AD38" s="375"/>
      <c r="AE38" s="376" t="str">
        <f>IF(TRIM(AD38)="", "", IF(VLOOKUP(AD38,'Footnotes list'!$D$9:$E$58,2,FALSE)=0,"",VLOOKUP(AD38,'Footnotes list'!$D$9:$E$58,2,FALSE) ) )</f>
        <v/>
      </c>
      <c r="AF38" s="372"/>
      <c r="AG38" s="373"/>
      <c r="AH38" s="374"/>
      <c r="AI38" s="375"/>
      <c r="AJ38" s="376" t="str">
        <f>IF(TRIM(AI38)="", "", IF(VLOOKUP(AI38,'Footnotes list'!$D$9:$E$58,2,FALSE)=0,"",VLOOKUP(AI38,'Footnotes list'!$D$9:$E$58,2,FALSE) ) )</f>
        <v/>
      </c>
      <c r="AK38" s="372"/>
      <c r="AL38" s="373"/>
      <c r="AM38" s="374"/>
      <c r="AN38" s="375"/>
      <c r="AO38" s="376" t="str">
        <f>IF(TRIM(AN38)="", "", IF(VLOOKUP(AN38,'Footnotes list'!$D$9:$E$58,2,FALSE)=0,"",VLOOKUP(AN38,'Footnotes list'!$D$9:$E$58,2,FALSE) ) )</f>
        <v/>
      </c>
      <c r="AP38" s="382" t="str">
        <f>IF(AND(TRIM(AF38)="",TRIM(AK38)=""),"",AF38+AK38)</f>
        <v/>
      </c>
      <c r="AQ38" s="373"/>
      <c r="AR38" s="374"/>
      <c r="AS38" s="375"/>
      <c r="AT38" s="376" t="str">
        <f>IF(TRIM(AS38)="", "", IF(VLOOKUP(AS38,'Footnotes list'!$D$9:$E$58,2,FALSE)=0,"",VLOOKUP(AS38,'Footnotes list'!$D$9:$E$58,2,FALSE) ) )</f>
        <v/>
      </c>
      <c r="AU38" s="382" t="str">
        <f>IF(AND(TRIM(G38)="",TRIM(L38)="",TRIM(AA38)="",TRIM(AP38)=""),"",SUM(G38,L38,AA38,AP38))</f>
        <v/>
      </c>
      <c r="AV38" s="373"/>
      <c r="AW38" s="374"/>
      <c r="AX38" s="375"/>
      <c r="AY38" s="376" t="str">
        <f>IF(TRIM(AX38)="", "", IF(VLOOKUP(AX38,'Footnotes list'!$D$9:$E$58,2,FALSE)=0,"",VLOOKUP(AX38,'Footnotes list'!$D$9:$E$58,2,FALSE) ) )</f>
        <v/>
      </c>
    </row>
    <row r="39" spans="2:51" ht="15" customHeight="1" x14ac:dyDescent="0.35">
      <c r="B39" s="535"/>
      <c r="C39" s="50" t="s">
        <v>120</v>
      </c>
      <c r="D39" s="529"/>
      <c r="E39" s="51" t="s">
        <v>145</v>
      </c>
      <c r="F39" s="52" t="s">
        <v>152</v>
      </c>
      <c r="G39" s="378"/>
      <c r="H39" s="379"/>
      <c r="I39" s="380"/>
      <c r="J39" s="381"/>
      <c r="K39" s="377" t="str">
        <f>IF(TRIM(J39)="", "", IF(VLOOKUP(J39,'Footnotes list'!$D$9:$E$58,2,FALSE)=0,"",VLOOKUP(J39,'Footnotes list'!$D$9:$E$58,2,FALSE) ) )</f>
        <v/>
      </c>
      <c r="L39" s="378"/>
      <c r="M39" s="379"/>
      <c r="N39" s="380"/>
      <c r="O39" s="381"/>
      <c r="P39" s="377" t="str">
        <f>IF(TRIM(O39)="", "", IF(VLOOKUP(O39,'Footnotes list'!$D$9:$E$58,2,FALSE)=0,"",VLOOKUP(O39,'Footnotes list'!$D$9:$E$58,2,FALSE) ) )</f>
        <v/>
      </c>
      <c r="Q39" s="378"/>
      <c r="R39" s="379"/>
      <c r="S39" s="380"/>
      <c r="T39" s="381"/>
      <c r="U39" s="377" t="str">
        <f>IF(TRIM(T39)="", "", IF(VLOOKUP(T39,'Footnotes list'!$D$9:$E$58,2,FALSE)=0,"",VLOOKUP(T39,'Footnotes list'!$D$9:$E$58,2,FALSE) ) )</f>
        <v/>
      </c>
      <c r="V39" s="378"/>
      <c r="W39" s="379"/>
      <c r="X39" s="380"/>
      <c r="Y39" s="381"/>
      <c r="Z39" s="377" t="str">
        <f>IF(TRIM(Y39)="", "", IF(VLOOKUP(Y39,'Footnotes list'!$D$9:$E$58,2,FALSE)=0,"",VLOOKUP(Y39,'Footnotes list'!$D$9:$E$58,2,FALSE) ) )</f>
        <v/>
      </c>
      <c r="AA39" s="129" t="str">
        <f>IF(AND(TRIM(Q39)="",TRIM(V39)=""),"",Q39+V39)</f>
        <v/>
      </c>
      <c r="AB39" s="379"/>
      <c r="AC39" s="380"/>
      <c r="AD39" s="381"/>
      <c r="AE39" s="377" t="str">
        <f>IF(TRIM(AD39)="", "", IF(VLOOKUP(AD39,'Footnotes list'!$D$9:$E$58,2,FALSE)=0,"",VLOOKUP(AD39,'Footnotes list'!$D$9:$E$58,2,FALSE) ) )</f>
        <v/>
      </c>
      <c r="AF39" s="378"/>
      <c r="AG39" s="379"/>
      <c r="AH39" s="380"/>
      <c r="AI39" s="381"/>
      <c r="AJ39" s="377" t="str">
        <f>IF(TRIM(AI39)="", "", IF(VLOOKUP(AI39,'Footnotes list'!$D$9:$E$58,2,FALSE)=0,"",VLOOKUP(AI39,'Footnotes list'!$D$9:$E$58,2,FALSE) ) )</f>
        <v/>
      </c>
      <c r="AK39" s="378"/>
      <c r="AL39" s="379"/>
      <c r="AM39" s="380"/>
      <c r="AN39" s="381"/>
      <c r="AO39" s="377" t="str">
        <f>IF(TRIM(AN39)="", "", IF(VLOOKUP(AN39,'Footnotes list'!$D$9:$E$58,2,FALSE)=0,"",VLOOKUP(AN39,'Footnotes list'!$D$9:$E$58,2,FALSE) ) )</f>
        <v/>
      </c>
      <c r="AP39" s="129" t="str">
        <f>IF(AND(TRIM(AF39)="",TRIM(AK39)=""),"",AF39+AK39)</f>
        <v/>
      </c>
      <c r="AQ39" s="379"/>
      <c r="AR39" s="380"/>
      <c r="AS39" s="381"/>
      <c r="AT39" s="377" t="str">
        <f>IF(TRIM(AS39)="", "", IF(VLOOKUP(AS39,'Footnotes list'!$D$9:$E$58,2,FALSE)=0,"",VLOOKUP(AS39,'Footnotes list'!$D$9:$E$58,2,FALSE) ) )</f>
        <v/>
      </c>
      <c r="AU39" s="403" t="str">
        <f>IF(AND(TRIM(G39)="",TRIM(L39)="",TRIM(AA39)="",TRIM(AP39)=""),"",SUM(G39,L39,AA39,AP39))</f>
        <v/>
      </c>
      <c r="AV39" s="379"/>
      <c r="AW39" s="380"/>
      <c r="AX39" s="381"/>
      <c r="AY39" s="377" t="str">
        <f>IF(TRIM(AX39)="", "", IF(VLOOKUP(AX39,'Footnotes list'!$D$9:$E$58,2,FALSE)=0,"",VLOOKUP(AX39,'Footnotes list'!$D$9:$E$58,2,FALSE) ) )</f>
        <v/>
      </c>
    </row>
    <row r="40" spans="2:51" ht="15" customHeight="1" thickBot="1" x14ac:dyDescent="0.4">
      <c r="B40" s="536"/>
      <c r="C40" s="53" t="s">
        <v>120</v>
      </c>
      <c r="D40" s="530"/>
      <c r="E40" s="47" t="s">
        <v>146</v>
      </c>
      <c r="F40" s="54" t="s">
        <v>234</v>
      </c>
      <c r="G40" s="126" t="str">
        <f>IF(AND(TRIM(G38)="",TRIM(G39)=""),"",G38+G39)</f>
        <v/>
      </c>
      <c r="H40" s="379"/>
      <c r="I40" s="380"/>
      <c r="J40" s="381"/>
      <c r="K40" s="377" t="str">
        <f>IF(TRIM(J40)="", "", IF(VLOOKUP(J40,'Footnotes list'!$D$9:$E$58,2,FALSE)=0,"",VLOOKUP(J40,'Footnotes list'!$D$9:$E$58,2,FALSE) ) )</f>
        <v/>
      </c>
      <c r="L40" s="126" t="str">
        <f>IF(AND(TRIM(L38)="",TRIM(L39)=""),"",L38+L39)</f>
        <v/>
      </c>
      <c r="M40" s="379"/>
      <c r="N40" s="380"/>
      <c r="O40" s="381"/>
      <c r="P40" s="377" t="str">
        <f>IF(TRIM(O40)="", "", IF(VLOOKUP(O40,'Footnotes list'!$D$9:$E$58,2,FALSE)=0,"",VLOOKUP(O40,'Footnotes list'!$D$9:$E$58,2,FALSE) ) )</f>
        <v/>
      </c>
      <c r="Q40" s="126" t="str">
        <f>IF(AND(TRIM(Q38)="",TRIM(Q39)=""),"",Q38+Q39)</f>
        <v/>
      </c>
      <c r="R40" s="379"/>
      <c r="S40" s="380"/>
      <c r="T40" s="381"/>
      <c r="U40" s="377" t="str">
        <f>IF(TRIM(T40)="", "", IF(VLOOKUP(T40,'Footnotes list'!$D$9:$E$58,2,FALSE)=0,"",VLOOKUP(T40,'Footnotes list'!$D$9:$E$58,2,FALSE) ) )</f>
        <v/>
      </c>
      <c r="V40" s="126" t="str">
        <f>IF(AND(TRIM(V38)="",TRIM(V39)=""),"",V38+V39)</f>
        <v/>
      </c>
      <c r="W40" s="379"/>
      <c r="X40" s="380"/>
      <c r="Y40" s="381"/>
      <c r="Z40" s="377" t="str">
        <f>IF(TRIM(Y40)="", "", IF(VLOOKUP(Y40,'Footnotes list'!$D$9:$E$58,2,FALSE)=0,"",VLOOKUP(Y40,'Footnotes list'!$D$9:$E$58,2,FALSE) ) )</f>
        <v/>
      </c>
      <c r="AA40" s="126" t="str">
        <f>IF(AND(TRIM(AA38)="", TRIM(AA39)=""), "", SUM(AA38,AA39))</f>
        <v/>
      </c>
      <c r="AB40" s="379"/>
      <c r="AC40" s="380"/>
      <c r="AD40" s="381"/>
      <c r="AE40" s="377" t="str">
        <f>IF(TRIM(AD40)="", "", IF(VLOOKUP(AD40,'Footnotes list'!$D$9:$E$58,2,FALSE)=0,"",VLOOKUP(AD40,'Footnotes list'!$D$9:$E$58,2,FALSE) ) )</f>
        <v/>
      </c>
      <c r="AF40" s="126" t="str">
        <f>IF(AND(TRIM(AF38)="",TRIM(AF39)=""),"",AF38+AF39)</f>
        <v/>
      </c>
      <c r="AG40" s="379"/>
      <c r="AH40" s="380"/>
      <c r="AI40" s="381"/>
      <c r="AJ40" s="377" t="str">
        <f>IF(TRIM(AI40)="", "", IF(VLOOKUP(AI40,'Footnotes list'!$D$9:$E$58,2,FALSE)=0,"",VLOOKUP(AI40,'Footnotes list'!$D$9:$E$58,2,FALSE) ) )</f>
        <v/>
      </c>
      <c r="AK40" s="126" t="str">
        <f>IF(AND(TRIM(AK38)="",TRIM(AK39)=""),"",AK38+AK39)</f>
        <v/>
      </c>
      <c r="AL40" s="379"/>
      <c r="AM40" s="380"/>
      <c r="AN40" s="381"/>
      <c r="AO40" s="377" t="str">
        <f>IF(TRIM(AN40)="", "", IF(VLOOKUP(AN40,'Footnotes list'!$D$9:$E$58,2,FALSE)=0,"",VLOOKUP(AN40,'Footnotes list'!$D$9:$E$58,2,FALSE) ) )</f>
        <v/>
      </c>
      <c r="AP40" s="126" t="str">
        <f>IF(AND(TRIM(AP38)="", TRIM(AP39)=""), "", SUM(AP38,AP39))</f>
        <v/>
      </c>
      <c r="AQ40" s="379"/>
      <c r="AR40" s="380"/>
      <c r="AS40" s="381"/>
      <c r="AT40" s="377" t="str">
        <f>IF(TRIM(AS40)="", "", IF(VLOOKUP(AS40,'Footnotes list'!$D$9:$E$58,2,FALSE)=0,"",VLOOKUP(AS40,'Footnotes list'!$D$9:$E$58,2,FALSE) ) )</f>
        <v/>
      </c>
      <c r="AU40" s="126" t="str">
        <f>IF(AND(TRIM(AU38)="", TRIM(AU39)=""), "", SUM(AU38,AU39) )</f>
        <v/>
      </c>
      <c r="AV40" s="379"/>
      <c r="AW40" s="380"/>
      <c r="AX40" s="381"/>
      <c r="AY40" s="377" t="str">
        <f>IF(TRIM(AX40)="", "", IF(VLOOKUP(AX40,'Footnotes list'!$D$9:$E$58,2,FALSE)=0,"",VLOOKUP(AX40,'Footnotes list'!$D$9:$E$58,2,FALSE) ) )</f>
        <v/>
      </c>
    </row>
    <row r="41" spans="2:51" ht="15" customHeight="1" thickBot="1" x14ac:dyDescent="0.4">
      <c r="B41" s="534" t="s">
        <v>121</v>
      </c>
      <c r="C41" s="55"/>
      <c r="D41" s="528" t="s">
        <v>87</v>
      </c>
      <c r="E41" s="55"/>
      <c r="F41" s="45" t="s">
        <v>233</v>
      </c>
      <c r="G41" s="125"/>
      <c r="H41" s="133"/>
      <c r="I41" s="134"/>
      <c r="J41" s="135"/>
      <c r="K41" s="136"/>
      <c r="L41" s="125"/>
      <c r="M41" s="133"/>
      <c r="N41" s="134"/>
      <c r="O41" s="135"/>
      <c r="P41" s="136"/>
      <c r="Q41" s="125"/>
      <c r="R41" s="133"/>
      <c r="S41" s="134"/>
      <c r="T41" s="135"/>
      <c r="U41" s="136"/>
      <c r="V41" s="125"/>
      <c r="W41" s="133"/>
      <c r="X41" s="134"/>
      <c r="Y41" s="135"/>
      <c r="Z41" s="136"/>
      <c r="AA41" s="125"/>
      <c r="AB41" s="133"/>
      <c r="AC41" s="134"/>
      <c r="AD41" s="135"/>
      <c r="AE41" s="136"/>
      <c r="AF41" s="125"/>
      <c r="AG41" s="133"/>
      <c r="AH41" s="134"/>
      <c r="AI41" s="135"/>
      <c r="AJ41" s="136"/>
      <c r="AK41" s="125"/>
      <c r="AL41" s="133"/>
      <c r="AM41" s="134"/>
      <c r="AN41" s="135"/>
      <c r="AO41" s="136"/>
      <c r="AP41" s="125"/>
      <c r="AQ41" s="133"/>
      <c r="AR41" s="134"/>
      <c r="AS41" s="135"/>
      <c r="AT41" s="136"/>
      <c r="AU41" s="125"/>
      <c r="AV41" s="133"/>
      <c r="AW41" s="134"/>
      <c r="AX41" s="135"/>
      <c r="AY41" s="136"/>
    </row>
    <row r="42" spans="2:51" ht="15" customHeight="1" x14ac:dyDescent="0.35">
      <c r="B42" s="535"/>
      <c r="C42" s="50" t="s">
        <v>121</v>
      </c>
      <c r="D42" s="529"/>
      <c r="E42" s="51" t="s">
        <v>145</v>
      </c>
      <c r="F42" s="52" t="s">
        <v>152</v>
      </c>
      <c r="G42" s="378"/>
      <c r="H42" s="379"/>
      <c r="I42" s="380"/>
      <c r="J42" s="381"/>
      <c r="K42" s="377" t="str">
        <f>IF(TRIM(J42)="", "", IF(VLOOKUP(J42,'Footnotes list'!$D$9:$E$58,2,FALSE)=0,"",VLOOKUP(J42,'Footnotes list'!$D$9:$E$58,2,FALSE) ) )</f>
        <v/>
      </c>
      <c r="L42" s="378"/>
      <c r="M42" s="379"/>
      <c r="N42" s="380"/>
      <c r="O42" s="381"/>
      <c r="P42" s="377" t="str">
        <f>IF(TRIM(O42)="", "", IF(VLOOKUP(O42,'Footnotes list'!$D$9:$E$58,2,FALSE)=0,"",VLOOKUP(O42,'Footnotes list'!$D$9:$E$58,2,FALSE) ) )</f>
        <v/>
      </c>
      <c r="Q42" s="378"/>
      <c r="R42" s="379"/>
      <c r="S42" s="380"/>
      <c r="T42" s="381"/>
      <c r="U42" s="377" t="str">
        <f>IF(TRIM(T42)="", "", IF(VLOOKUP(T42,'Footnotes list'!$D$9:$E$58,2,FALSE)=0,"",VLOOKUP(T42,'Footnotes list'!$D$9:$E$58,2,FALSE) ) )</f>
        <v/>
      </c>
      <c r="V42" s="378"/>
      <c r="W42" s="379"/>
      <c r="X42" s="380"/>
      <c r="Y42" s="381"/>
      <c r="Z42" s="377" t="str">
        <f>IF(TRIM(Y42)="", "", IF(VLOOKUP(Y42,'Footnotes list'!$D$9:$E$58,2,FALSE)=0,"",VLOOKUP(Y42,'Footnotes list'!$D$9:$E$58,2,FALSE) ) )</f>
        <v/>
      </c>
      <c r="AA42" s="129" t="str">
        <f>IF(AND(TRIM(Q42)="",TRIM(V42)=""),"",Q42+V42)</f>
        <v/>
      </c>
      <c r="AB42" s="379"/>
      <c r="AC42" s="380"/>
      <c r="AD42" s="381"/>
      <c r="AE42" s="377" t="str">
        <f>IF(TRIM(AD42)="", "", IF(VLOOKUP(AD42,'Footnotes list'!$D$9:$E$58,2,FALSE)=0,"",VLOOKUP(AD42,'Footnotes list'!$D$9:$E$58,2,FALSE) ) )</f>
        <v/>
      </c>
      <c r="AF42" s="378"/>
      <c r="AG42" s="379"/>
      <c r="AH42" s="380"/>
      <c r="AI42" s="381"/>
      <c r="AJ42" s="377" t="str">
        <f>IF(TRIM(AI42)="", "", IF(VLOOKUP(AI42,'Footnotes list'!$D$9:$E$58,2,FALSE)=0,"",VLOOKUP(AI42,'Footnotes list'!$D$9:$E$58,2,FALSE) ) )</f>
        <v/>
      </c>
      <c r="AK42" s="378"/>
      <c r="AL42" s="379"/>
      <c r="AM42" s="380"/>
      <c r="AN42" s="381"/>
      <c r="AO42" s="377" t="str">
        <f>IF(TRIM(AN42)="", "", IF(VLOOKUP(AN42,'Footnotes list'!$D$9:$E$58,2,FALSE)=0,"",VLOOKUP(AN42,'Footnotes list'!$D$9:$E$58,2,FALSE) ) )</f>
        <v/>
      </c>
      <c r="AP42" s="129" t="str">
        <f>IF(AND(TRIM(AF42)="",TRIM(AK42)=""),"",AF42+AK42)</f>
        <v/>
      </c>
      <c r="AQ42" s="379"/>
      <c r="AR42" s="380"/>
      <c r="AS42" s="381"/>
      <c r="AT42" s="377" t="str">
        <f>IF(TRIM(AS42)="", "", IF(VLOOKUP(AS42,'Footnotes list'!$D$9:$E$58,2,FALSE)=0,"",VLOOKUP(AS42,'Footnotes list'!$D$9:$E$58,2,FALSE) ) )</f>
        <v/>
      </c>
      <c r="AU42" s="403" t="str">
        <f>IF(AND(TRIM(G42)="",TRIM(L42)="",TRIM(AA42)="",TRIM(AP42)=""),"",SUM(G42,L42,AA42,AP42))</f>
        <v/>
      </c>
      <c r="AV42" s="379"/>
      <c r="AW42" s="380"/>
      <c r="AX42" s="381"/>
      <c r="AY42" s="377" t="str">
        <f>IF(TRIM(AX42)="", "", IF(VLOOKUP(AX42,'Footnotes list'!$D$9:$E$58,2,FALSE)=0,"",VLOOKUP(AX42,'Footnotes list'!$D$9:$E$58,2,FALSE) ) )</f>
        <v/>
      </c>
    </row>
    <row r="43" spans="2:51" ht="15" customHeight="1" thickBot="1" x14ac:dyDescent="0.4">
      <c r="B43" s="536"/>
      <c r="C43" s="53" t="s">
        <v>121</v>
      </c>
      <c r="D43" s="530"/>
      <c r="E43" s="47" t="s">
        <v>146</v>
      </c>
      <c r="F43" s="54" t="s">
        <v>234</v>
      </c>
      <c r="G43" s="126" t="str">
        <f>IF(AND(TRIM(G41)="",TRIM(G42)=""),"",G41+G42)</f>
        <v/>
      </c>
      <c r="H43" s="379"/>
      <c r="I43" s="380"/>
      <c r="J43" s="381"/>
      <c r="K43" s="377" t="str">
        <f>IF(TRIM(J43)="", "", IF(VLOOKUP(J43,'Footnotes list'!$D$9:$E$58,2,FALSE)=0,"",VLOOKUP(J43,'Footnotes list'!$D$9:$E$58,2,FALSE) ) )</f>
        <v/>
      </c>
      <c r="L43" s="126" t="str">
        <f>IF(AND(TRIM(L41)="",TRIM(L42)=""),"",L41+L42)</f>
        <v/>
      </c>
      <c r="M43" s="379"/>
      <c r="N43" s="380"/>
      <c r="O43" s="381"/>
      <c r="P43" s="377" t="str">
        <f>IF(TRIM(O43)="", "", IF(VLOOKUP(O43,'Footnotes list'!$D$9:$E$58,2,FALSE)=0,"",VLOOKUP(O43,'Footnotes list'!$D$9:$E$58,2,FALSE) ) )</f>
        <v/>
      </c>
      <c r="Q43" s="126" t="str">
        <f>IF(AND(TRIM(Q41)="",TRIM(Q42)=""),"",Q41+Q42)</f>
        <v/>
      </c>
      <c r="R43" s="379"/>
      <c r="S43" s="380"/>
      <c r="T43" s="381"/>
      <c r="U43" s="377" t="str">
        <f>IF(TRIM(T43)="", "", IF(VLOOKUP(T43,'Footnotes list'!$D$9:$E$58,2,FALSE)=0,"",VLOOKUP(T43,'Footnotes list'!$D$9:$E$58,2,FALSE) ) )</f>
        <v/>
      </c>
      <c r="V43" s="126" t="str">
        <f>IF(AND(TRIM(V41)="",TRIM(V42)=""),"",V41+V42)</f>
        <v/>
      </c>
      <c r="W43" s="379"/>
      <c r="X43" s="380"/>
      <c r="Y43" s="381"/>
      <c r="Z43" s="377" t="str">
        <f>IF(TRIM(Y43)="", "", IF(VLOOKUP(Y43,'Footnotes list'!$D$9:$E$58,2,FALSE)=0,"",VLOOKUP(Y43,'Footnotes list'!$D$9:$E$58,2,FALSE) ) )</f>
        <v/>
      </c>
      <c r="AA43" s="126" t="str">
        <f>IF(AND(TRIM(AA41)="", TRIM(AA42)=""), "", SUM(AA41,AA42))</f>
        <v/>
      </c>
      <c r="AB43" s="379"/>
      <c r="AC43" s="380"/>
      <c r="AD43" s="381"/>
      <c r="AE43" s="377" t="str">
        <f>IF(TRIM(AD43)="", "", IF(VLOOKUP(AD43,'Footnotes list'!$D$9:$E$58,2,FALSE)=0,"",VLOOKUP(AD43,'Footnotes list'!$D$9:$E$58,2,FALSE) ) )</f>
        <v/>
      </c>
      <c r="AF43" s="126" t="str">
        <f>IF(AND(TRIM(AF41)="",TRIM(AF42)=""),"",AF41+AF42)</f>
        <v/>
      </c>
      <c r="AG43" s="379"/>
      <c r="AH43" s="380"/>
      <c r="AI43" s="381"/>
      <c r="AJ43" s="377" t="str">
        <f>IF(TRIM(AI43)="", "", IF(VLOOKUP(AI43,'Footnotes list'!$D$9:$E$58,2,FALSE)=0,"",VLOOKUP(AI43,'Footnotes list'!$D$9:$E$58,2,FALSE) ) )</f>
        <v/>
      </c>
      <c r="AK43" s="126" t="str">
        <f>IF(AND(TRIM(AK41)="",TRIM(AK42)=""),"",AK41+AK42)</f>
        <v/>
      </c>
      <c r="AL43" s="379"/>
      <c r="AM43" s="380"/>
      <c r="AN43" s="381"/>
      <c r="AO43" s="377" t="str">
        <f>IF(TRIM(AN43)="", "", IF(VLOOKUP(AN43,'Footnotes list'!$D$9:$E$58,2,FALSE)=0,"",VLOOKUP(AN43,'Footnotes list'!$D$9:$E$58,2,FALSE) ) )</f>
        <v/>
      </c>
      <c r="AP43" s="126" t="str">
        <f>IF(AND(TRIM(AP41)="", TRIM(AP42)=""), "", SUM(AP41,AP42))</f>
        <v/>
      </c>
      <c r="AQ43" s="379"/>
      <c r="AR43" s="380"/>
      <c r="AS43" s="381"/>
      <c r="AT43" s="377" t="str">
        <f>IF(TRIM(AS43)="", "", IF(VLOOKUP(AS43,'Footnotes list'!$D$9:$E$58,2,FALSE)=0,"",VLOOKUP(AS43,'Footnotes list'!$D$9:$E$58,2,FALSE) ) )</f>
        <v/>
      </c>
      <c r="AU43" s="126" t="str">
        <f>IF(AND(TRIM(AU41)="", TRIM(AU42)=""), "", SUM(AU41,AU42) )</f>
        <v/>
      </c>
      <c r="AV43" s="379"/>
      <c r="AW43" s="380"/>
      <c r="AX43" s="381"/>
      <c r="AY43" s="377" t="str">
        <f>IF(TRIM(AX43)="", "", IF(VLOOKUP(AX43,'Footnotes list'!$D$9:$E$58,2,FALSE)=0,"",VLOOKUP(AX43,'Footnotes list'!$D$9:$E$58,2,FALSE) ) )</f>
        <v/>
      </c>
    </row>
    <row r="44" spans="2:51" ht="15" customHeight="1" thickBot="1" x14ac:dyDescent="0.4">
      <c r="B44" s="534" t="s">
        <v>122</v>
      </c>
      <c r="C44" s="55"/>
      <c r="D44" s="528" t="s">
        <v>88</v>
      </c>
      <c r="E44" s="55"/>
      <c r="F44" s="45" t="s">
        <v>233</v>
      </c>
      <c r="G44" s="125"/>
      <c r="H44" s="133"/>
      <c r="I44" s="134"/>
      <c r="J44" s="135"/>
      <c r="K44" s="136"/>
      <c r="L44" s="125"/>
      <c r="M44" s="133"/>
      <c r="N44" s="134"/>
      <c r="O44" s="135"/>
      <c r="P44" s="136"/>
      <c r="Q44" s="125"/>
      <c r="R44" s="133"/>
      <c r="S44" s="134"/>
      <c r="T44" s="135"/>
      <c r="U44" s="136"/>
      <c r="V44" s="125"/>
      <c r="W44" s="133"/>
      <c r="X44" s="134"/>
      <c r="Y44" s="135"/>
      <c r="Z44" s="136"/>
      <c r="AA44" s="125"/>
      <c r="AB44" s="133"/>
      <c r="AC44" s="134"/>
      <c r="AD44" s="135"/>
      <c r="AE44" s="136"/>
      <c r="AF44" s="125"/>
      <c r="AG44" s="133"/>
      <c r="AH44" s="134"/>
      <c r="AI44" s="135"/>
      <c r="AJ44" s="136"/>
      <c r="AK44" s="125"/>
      <c r="AL44" s="133"/>
      <c r="AM44" s="134"/>
      <c r="AN44" s="135"/>
      <c r="AO44" s="136"/>
      <c r="AP44" s="125"/>
      <c r="AQ44" s="133"/>
      <c r="AR44" s="134"/>
      <c r="AS44" s="135"/>
      <c r="AT44" s="136"/>
      <c r="AU44" s="125"/>
      <c r="AV44" s="133"/>
      <c r="AW44" s="134"/>
      <c r="AX44" s="135"/>
      <c r="AY44" s="136"/>
    </row>
    <row r="45" spans="2:51" ht="15" customHeight="1" x14ac:dyDescent="0.35">
      <c r="B45" s="535"/>
      <c r="C45" s="50" t="s">
        <v>122</v>
      </c>
      <c r="D45" s="529"/>
      <c r="E45" s="51" t="s">
        <v>145</v>
      </c>
      <c r="F45" s="52" t="s">
        <v>152</v>
      </c>
      <c r="G45" s="378"/>
      <c r="H45" s="379"/>
      <c r="I45" s="380"/>
      <c r="J45" s="381"/>
      <c r="K45" s="377" t="str">
        <f>IF(TRIM(J45)="", "", IF(VLOOKUP(J45,'Footnotes list'!$D$9:$E$58,2,FALSE)=0,"",VLOOKUP(J45,'Footnotes list'!$D$9:$E$58,2,FALSE) ) )</f>
        <v/>
      </c>
      <c r="L45" s="378"/>
      <c r="M45" s="379"/>
      <c r="N45" s="380"/>
      <c r="O45" s="381"/>
      <c r="P45" s="377" t="str">
        <f>IF(TRIM(O45)="", "", IF(VLOOKUP(O45,'Footnotes list'!$D$9:$E$58,2,FALSE)=0,"",VLOOKUP(O45,'Footnotes list'!$D$9:$E$58,2,FALSE) ) )</f>
        <v/>
      </c>
      <c r="Q45" s="378"/>
      <c r="R45" s="379"/>
      <c r="S45" s="380"/>
      <c r="T45" s="381"/>
      <c r="U45" s="377" t="str">
        <f>IF(TRIM(T45)="", "", IF(VLOOKUP(T45,'Footnotes list'!$D$9:$E$58,2,FALSE)=0,"",VLOOKUP(T45,'Footnotes list'!$D$9:$E$58,2,FALSE) ) )</f>
        <v/>
      </c>
      <c r="V45" s="378"/>
      <c r="W45" s="379"/>
      <c r="X45" s="380"/>
      <c r="Y45" s="381"/>
      <c r="Z45" s="377" t="str">
        <f>IF(TRIM(Y45)="", "", IF(VLOOKUP(Y45,'Footnotes list'!$D$9:$E$58,2,FALSE)=0,"",VLOOKUP(Y45,'Footnotes list'!$D$9:$E$58,2,FALSE) ) )</f>
        <v/>
      </c>
      <c r="AA45" s="129" t="str">
        <f>IF(AND(TRIM(Q45)="",TRIM(V45)=""),"",Q45+V45)</f>
        <v/>
      </c>
      <c r="AB45" s="379"/>
      <c r="AC45" s="380"/>
      <c r="AD45" s="381"/>
      <c r="AE45" s="377" t="str">
        <f>IF(TRIM(AD45)="", "", IF(VLOOKUP(AD45,'Footnotes list'!$D$9:$E$58,2,FALSE)=0,"",VLOOKUP(AD45,'Footnotes list'!$D$9:$E$58,2,FALSE) ) )</f>
        <v/>
      </c>
      <c r="AF45" s="378"/>
      <c r="AG45" s="379"/>
      <c r="AH45" s="380"/>
      <c r="AI45" s="381"/>
      <c r="AJ45" s="377" t="str">
        <f>IF(TRIM(AI45)="", "", IF(VLOOKUP(AI45,'Footnotes list'!$D$9:$E$58,2,FALSE)=0,"",VLOOKUP(AI45,'Footnotes list'!$D$9:$E$58,2,FALSE) ) )</f>
        <v/>
      </c>
      <c r="AK45" s="378"/>
      <c r="AL45" s="379"/>
      <c r="AM45" s="380"/>
      <c r="AN45" s="381"/>
      <c r="AO45" s="377" t="str">
        <f>IF(TRIM(AN45)="", "", IF(VLOOKUP(AN45,'Footnotes list'!$D$9:$E$58,2,FALSE)=0,"",VLOOKUP(AN45,'Footnotes list'!$D$9:$E$58,2,FALSE) ) )</f>
        <v/>
      </c>
      <c r="AP45" s="129" t="str">
        <f>IF(AND(TRIM(AF45)="",TRIM(AK45)=""),"",AF45+AK45)</f>
        <v/>
      </c>
      <c r="AQ45" s="379"/>
      <c r="AR45" s="380"/>
      <c r="AS45" s="381"/>
      <c r="AT45" s="377" t="str">
        <f>IF(TRIM(AS45)="", "", IF(VLOOKUP(AS45,'Footnotes list'!$D$9:$E$58,2,FALSE)=0,"",VLOOKUP(AS45,'Footnotes list'!$D$9:$E$58,2,FALSE) ) )</f>
        <v/>
      </c>
      <c r="AU45" s="403" t="str">
        <f>IF(AND(TRIM(G45)="",TRIM(L45)="",TRIM(AA45)="",TRIM(AP45)=""),"",SUM(G45,L45,AA45,AP45))</f>
        <v/>
      </c>
      <c r="AV45" s="379"/>
      <c r="AW45" s="380"/>
      <c r="AX45" s="381"/>
      <c r="AY45" s="377" t="str">
        <f>IF(TRIM(AX45)="", "", IF(VLOOKUP(AX45,'Footnotes list'!$D$9:$E$58,2,FALSE)=0,"",VLOOKUP(AX45,'Footnotes list'!$D$9:$E$58,2,FALSE) ) )</f>
        <v/>
      </c>
    </row>
    <row r="46" spans="2:51" ht="15" customHeight="1" thickBot="1" x14ac:dyDescent="0.4">
      <c r="B46" s="536"/>
      <c r="C46" s="53" t="s">
        <v>122</v>
      </c>
      <c r="D46" s="530"/>
      <c r="E46" s="47" t="s">
        <v>146</v>
      </c>
      <c r="F46" s="54" t="s">
        <v>234</v>
      </c>
      <c r="G46" s="126" t="str">
        <f>IF(AND(TRIM(G44)="",TRIM(G45)=""),"",G44+G45)</f>
        <v/>
      </c>
      <c r="H46" s="379"/>
      <c r="I46" s="380"/>
      <c r="J46" s="381"/>
      <c r="K46" s="377" t="str">
        <f>IF(TRIM(J46)="", "", IF(VLOOKUP(J46,'Footnotes list'!$D$9:$E$58,2,FALSE)=0,"",VLOOKUP(J46,'Footnotes list'!$D$9:$E$58,2,FALSE) ) )</f>
        <v/>
      </c>
      <c r="L46" s="126" t="str">
        <f>IF(AND(TRIM(L44)="",TRIM(L45)=""),"",L44+L45)</f>
        <v/>
      </c>
      <c r="M46" s="379"/>
      <c r="N46" s="380"/>
      <c r="O46" s="381"/>
      <c r="P46" s="377" t="str">
        <f>IF(TRIM(O46)="", "", IF(VLOOKUP(O46,'Footnotes list'!$D$9:$E$58,2,FALSE)=0,"",VLOOKUP(O46,'Footnotes list'!$D$9:$E$58,2,FALSE) ) )</f>
        <v/>
      </c>
      <c r="Q46" s="126" t="str">
        <f>IF(AND(TRIM(Q44)="",TRIM(Q45)=""),"",Q44+Q45)</f>
        <v/>
      </c>
      <c r="R46" s="379"/>
      <c r="S46" s="380"/>
      <c r="T46" s="381"/>
      <c r="U46" s="377" t="str">
        <f>IF(TRIM(T46)="", "", IF(VLOOKUP(T46,'Footnotes list'!$D$9:$E$58,2,FALSE)=0,"",VLOOKUP(T46,'Footnotes list'!$D$9:$E$58,2,FALSE) ) )</f>
        <v/>
      </c>
      <c r="V46" s="126" t="str">
        <f>IF(AND(TRIM(V44)="",TRIM(V45)=""),"",V44+V45)</f>
        <v/>
      </c>
      <c r="W46" s="379"/>
      <c r="X46" s="380"/>
      <c r="Y46" s="381"/>
      <c r="Z46" s="377" t="str">
        <f>IF(TRIM(Y46)="", "", IF(VLOOKUP(Y46,'Footnotes list'!$D$9:$E$58,2,FALSE)=0,"",VLOOKUP(Y46,'Footnotes list'!$D$9:$E$58,2,FALSE) ) )</f>
        <v/>
      </c>
      <c r="AA46" s="126" t="str">
        <f>IF(AND(TRIM(AA44)="", TRIM(AA45)=""), "", SUM(AA44,AA45))</f>
        <v/>
      </c>
      <c r="AB46" s="379"/>
      <c r="AC46" s="380"/>
      <c r="AD46" s="381"/>
      <c r="AE46" s="377" t="str">
        <f>IF(TRIM(AD46)="", "", IF(VLOOKUP(AD46,'Footnotes list'!$D$9:$E$58,2,FALSE)=0,"",VLOOKUP(AD46,'Footnotes list'!$D$9:$E$58,2,FALSE) ) )</f>
        <v/>
      </c>
      <c r="AF46" s="126" t="str">
        <f>IF(AND(TRIM(AF44)="",TRIM(AF45)=""),"",AF44+AF45)</f>
        <v/>
      </c>
      <c r="AG46" s="379"/>
      <c r="AH46" s="380"/>
      <c r="AI46" s="381"/>
      <c r="AJ46" s="377" t="str">
        <f>IF(TRIM(AI46)="", "", IF(VLOOKUP(AI46,'Footnotes list'!$D$9:$E$58,2,FALSE)=0,"",VLOOKUP(AI46,'Footnotes list'!$D$9:$E$58,2,FALSE) ) )</f>
        <v/>
      </c>
      <c r="AK46" s="126" t="str">
        <f>IF(AND(TRIM(AK44)="",TRIM(AK45)=""),"",AK44+AK45)</f>
        <v/>
      </c>
      <c r="AL46" s="379"/>
      <c r="AM46" s="380"/>
      <c r="AN46" s="381"/>
      <c r="AO46" s="377" t="str">
        <f>IF(TRIM(AN46)="", "", IF(VLOOKUP(AN46,'Footnotes list'!$D$9:$E$58,2,FALSE)=0,"",VLOOKUP(AN46,'Footnotes list'!$D$9:$E$58,2,FALSE) ) )</f>
        <v/>
      </c>
      <c r="AP46" s="126" t="str">
        <f>IF(AND(TRIM(AP44)="", TRIM(AP45)=""), "", SUM(AP44,AP45))</f>
        <v/>
      </c>
      <c r="AQ46" s="379"/>
      <c r="AR46" s="380"/>
      <c r="AS46" s="381"/>
      <c r="AT46" s="377" t="str">
        <f>IF(TRIM(AS46)="", "", IF(VLOOKUP(AS46,'Footnotes list'!$D$9:$E$58,2,FALSE)=0,"",VLOOKUP(AS46,'Footnotes list'!$D$9:$E$58,2,FALSE) ) )</f>
        <v/>
      </c>
      <c r="AU46" s="126" t="str">
        <f>IF(AND(TRIM(AU44)="", TRIM(AU45)=""), "", SUM(AU44,AU45) )</f>
        <v/>
      </c>
      <c r="AV46" s="379"/>
      <c r="AW46" s="380"/>
      <c r="AX46" s="381"/>
      <c r="AY46" s="377" t="str">
        <f>IF(TRIM(AX46)="", "", IF(VLOOKUP(AX46,'Footnotes list'!$D$9:$E$58,2,FALSE)=0,"",VLOOKUP(AX46,'Footnotes list'!$D$9:$E$58,2,FALSE) ) )</f>
        <v/>
      </c>
    </row>
    <row r="47" spans="2:51" ht="15" customHeight="1" thickBot="1" x14ac:dyDescent="0.4">
      <c r="B47" s="534" t="s">
        <v>123</v>
      </c>
      <c r="C47" s="55"/>
      <c r="D47" s="528" t="s">
        <v>89</v>
      </c>
      <c r="E47" s="55"/>
      <c r="F47" s="45" t="s">
        <v>233</v>
      </c>
      <c r="G47" s="125"/>
      <c r="H47" s="133"/>
      <c r="I47" s="134"/>
      <c r="J47" s="135"/>
      <c r="K47" s="136"/>
      <c r="L47" s="125"/>
      <c r="M47" s="133"/>
      <c r="N47" s="134"/>
      <c r="O47" s="135"/>
      <c r="P47" s="136"/>
      <c r="Q47" s="125"/>
      <c r="R47" s="133"/>
      <c r="S47" s="134"/>
      <c r="T47" s="135"/>
      <c r="U47" s="136"/>
      <c r="V47" s="125"/>
      <c r="W47" s="133"/>
      <c r="X47" s="134"/>
      <c r="Y47" s="135"/>
      <c r="Z47" s="136"/>
      <c r="AA47" s="125"/>
      <c r="AB47" s="133"/>
      <c r="AC47" s="134"/>
      <c r="AD47" s="135"/>
      <c r="AE47" s="136"/>
      <c r="AF47" s="125"/>
      <c r="AG47" s="133"/>
      <c r="AH47" s="134"/>
      <c r="AI47" s="135"/>
      <c r="AJ47" s="136"/>
      <c r="AK47" s="125"/>
      <c r="AL47" s="133"/>
      <c r="AM47" s="134"/>
      <c r="AN47" s="135"/>
      <c r="AO47" s="136"/>
      <c r="AP47" s="125"/>
      <c r="AQ47" s="133"/>
      <c r="AR47" s="134"/>
      <c r="AS47" s="135"/>
      <c r="AT47" s="136"/>
      <c r="AU47" s="125"/>
      <c r="AV47" s="133"/>
      <c r="AW47" s="134"/>
      <c r="AX47" s="135"/>
      <c r="AY47" s="136"/>
    </row>
    <row r="48" spans="2:51" ht="15" customHeight="1" x14ac:dyDescent="0.35">
      <c r="B48" s="535"/>
      <c r="C48" s="50" t="s">
        <v>123</v>
      </c>
      <c r="D48" s="529"/>
      <c r="E48" s="51" t="s">
        <v>145</v>
      </c>
      <c r="F48" s="52" t="s">
        <v>152</v>
      </c>
      <c r="G48" s="378"/>
      <c r="H48" s="379"/>
      <c r="I48" s="380"/>
      <c r="J48" s="381"/>
      <c r="K48" s="377" t="str">
        <f>IF(TRIM(J48)="", "", IF(VLOOKUP(J48,'Footnotes list'!$D$9:$E$58,2,FALSE)=0,"",VLOOKUP(J48,'Footnotes list'!$D$9:$E$58,2,FALSE) ) )</f>
        <v/>
      </c>
      <c r="L48" s="378"/>
      <c r="M48" s="379"/>
      <c r="N48" s="380"/>
      <c r="O48" s="381"/>
      <c r="P48" s="377" t="str">
        <f>IF(TRIM(O48)="", "", IF(VLOOKUP(O48,'Footnotes list'!$D$9:$E$58,2,FALSE)=0,"",VLOOKUP(O48,'Footnotes list'!$D$9:$E$58,2,FALSE) ) )</f>
        <v/>
      </c>
      <c r="Q48" s="378"/>
      <c r="R48" s="379"/>
      <c r="S48" s="380"/>
      <c r="T48" s="381"/>
      <c r="U48" s="377" t="str">
        <f>IF(TRIM(T48)="", "", IF(VLOOKUP(T48,'Footnotes list'!$D$9:$E$58,2,FALSE)=0,"",VLOOKUP(T48,'Footnotes list'!$D$9:$E$58,2,FALSE) ) )</f>
        <v/>
      </c>
      <c r="V48" s="378"/>
      <c r="W48" s="379"/>
      <c r="X48" s="380"/>
      <c r="Y48" s="381"/>
      <c r="Z48" s="377" t="str">
        <f>IF(TRIM(Y48)="", "", IF(VLOOKUP(Y48,'Footnotes list'!$D$9:$E$58,2,FALSE)=0,"",VLOOKUP(Y48,'Footnotes list'!$D$9:$E$58,2,FALSE) ) )</f>
        <v/>
      </c>
      <c r="AA48" s="129" t="str">
        <f>IF(AND(TRIM(Q48)="",TRIM(V48)=""),"",Q48+V48)</f>
        <v/>
      </c>
      <c r="AB48" s="379"/>
      <c r="AC48" s="380"/>
      <c r="AD48" s="381"/>
      <c r="AE48" s="377" t="str">
        <f>IF(TRIM(AD48)="", "", IF(VLOOKUP(AD48,'Footnotes list'!$D$9:$E$58,2,FALSE)=0,"",VLOOKUP(AD48,'Footnotes list'!$D$9:$E$58,2,FALSE) ) )</f>
        <v/>
      </c>
      <c r="AF48" s="378"/>
      <c r="AG48" s="379"/>
      <c r="AH48" s="380"/>
      <c r="AI48" s="381"/>
      <c r="AJ48" s="377" t="str">
        <f>IF(TRIM(AI48)="", "", IF(VLOOKUP(AI48,'Footnotes list'!$D$9:$E$58,2,FALSE)=0,"",VLOOKUP(AI48,'Footnotes list'!$D$9:$E$58,2,FALSE) ) )</f>
        <v/>
      </c>
      <c r="AK48" s="378"/>
      <c r="AL48" s="379"/>
      <c r="AM48" s="380"/>
      <c r="AN48" s="381"/>
      <c r="AO48" s="377" t="str">
        <f>IF(TRIM(AN48)="", "", IF(VLOOKUP(AN48,'Footnotes list'!$D$9:$E$58,2,FALSE)=0,"",VLOOKUP(AN48,'Footnotes list'!$D$9:$E$58,2,FALSE) ) )</f>
        <v/>
      </c>
      <c r="AP48" s="129" t="str">
        <f>IF(AND(TRIM(AF48)="",TRIM(AK48)=""),"",AF48+AK48)</f>
        <v/>
      </c>
      <c r="AQ48" s="379"/>
      <c r="AR48" s="380"/>
      <c r="AS48" s="381"/>
      <c r="AT48" s="377" t="str">
        <f>IF(TRIM(AS48)="", "", IF(VLOOKUP(AS48,'Footnotes list'!$D$9:$E$58,2,FALSE)=0,"",VLOOKUP(AS48,'Footnotes list'!$D$9:$E$58,2,FALSE) ) )</f>
        <v/>
      </c>
      <c r="AU48" s="403" t="str">
        <f>IF(AND(TRIM(G48)="",TRIM(L48)="",TRIM(AA48)="",TRIM(AP48)=""),"",SUM(G48,L48,AA48,AP48))</f>
        <v/>
      </c>
      <c r="AV48" s="379"/>
      <c r="AW48" s="380"/>
      <c r="AX48" s="381"/>
      <c r="AY48" s="377" t="str">
        <f>IF(TRIM(AX48)="", "", IF(VLOOKUP(AX48,'Footnotes list'!$D$9:$E$58,2,FALSE)=0,"",VLOOKUP(AX48,'Footnotes list'!$D$9:$E$58,2,FALSE) ) )</f>
        <v/>
      </c>
    </row>
    <row r="49" spans="2:51" ht="15" customHeight="1" thickBot="1" x14ac:dyDescent="0.4">
      <c r="B49" s="536"/>
      <c r="C49" s="53" t="s">
        <v>123</v>
      </c>
      <c r="D49" s="530"/>
      <c r="E49" s="47" t="s">
        <v>146</v>
      </c>
      <c r="F49" s="54" t="s">
        <v>234</v>
      </c>
      <c r="G49" s="126" t="str">
        <f>IF(AND(TRIM(G47)="",TRIM(G48)=""),"",G47+G48)</f>
        <v/>
      </c>
      <c r="H49" s="379"/>
      <c r="I49" s="380"/>
      <c r="J49" s="381"/>
      <c r="K49" s="377" t="str">
        <f>IF(TRIM(J49)="", "", IF(VLOOKUP(J49,'Footnotes list'!$D$9:$E$58,2,FALSE)=0,"",VLOOKUP(J49,'Footnotes list'!$D$9:$E$58,2,FALSE) ) )</f>
        <v/>
      </c>
      <c r="L49" s="126" t="str">
        <f>IF(AND(TRIM(L47)="",TRIM(L48)=""),"",L47+L48)</f>
        <v/>
      </c>
      <c r="M49" s="379"/>
      <c r="N49" s="380"/>
      <c r="O49" s="381"/>
      <c r="P49" s="377" t="str">
        <f>IF(TRIM(O49)="", "", IF(VLOOKUP(O49,'Footnotes list'!$D$9:$E$58,2,FALSE)=0,"",VLOOKUP(O49,'Footnotes list'!$D$9:$E$58,2,FALSE) ) )</f>
        <v/>
      </c>
      <c r="Q49" s="126" t="str">
        <f>IF(AND(TRIM(Q47)="",TRIM(Q48)=""),"",Q47+Q48)</f>
        <v/>
      </c>
      <c r="R49" s="379"/>
      <c r="S49" s="380"/>
      <c r="T49" s="381"/>
      <c r="U49" s="377" t="str">
        <f>IF(TRIM(T49)="", "", IF(VLOOKUP(T49,'Footnotes list'!$D$9:$E$58,2,FALSE)=0,"",VLOOKUP(T49,'Footnotes list'!$D$9:$E$58,2,FALSE) ) )</f>
        <v/>
      </c>
      <c r="V49" s="126" t="str">
        <f>IF(AND(TRIM(V47)="",TRIM(V48)=""),"",V47+V48)</f>
        <v/>
      </c>
      <c r="W49" s="379"/>
      <c r="X49" s="380"/>
      <c r="Y49" s="381"/>
      <c r="Z49" s="377" t="str">
        <f>IF(TRIM(Y49)="", "", IF(VLOOKUP(Y49,'Footnotes list'!$D$9:$E$58,2,FALSE)=0,"",VLOOKUP(Y49,'Footnotes list'!$D$9:$E$58,2,FALSE) ) )</f>
        <v/>
      </c>
      <c r="AA49" s="126" t="str">
        <f>IF(AND(TRIM(AA47)="", TRIM(AA48)=""), "", SUM(AA47,AA48))</f>
        <v/>
      </c>
      <c r="AB49" s="379"/>
      <c r="AC49" s="380"/>
      <c r="AD49" s="381"/>
      <c r="AE49" s="377" t="str">
        <f>IF(TRIM(AD49)="", "", IF(VLOOKUP(AD49,'Footnotes list'!$D$9:$E$58,2,FALSE)=0,"",VLOOKUP(AD49,'Footnotes list'!$D$9:$E$58,2,FALSE) ) )</f>
        <v/>
      </c>
      <c r="AF49" s="126" t="str">
        <f>IF(AND(TRIM(AF47)="",TRIM(AF48)=""),"",AF47+AF48)</f>
        <v/>
      </c>
      <c r="AG49" s="379"/>
      <c r="AH49" s="380"/>
      <c r="AI49" s="381"/>
      <c r="AJ49" s="377" t="str">
        <f>IF(TRIM(AI49)="", "", IF(VLOOKUP(AI49,'Footnotes list'!$D$9:$E$58,2,FALSE)=0,"",VLOOKUP(AI49,'Footnotes list'!$D$9:$E$58,2,FALSE) ) )</f>
        <v/>
      </c>
      <c r="AK49" s="126" t="str">
        <f>IF(AND(TRIM(AK47)="",TRIM(AK48)=""),"",AK47+AK48)</f>
        <v/>
      </c>
      <c r="AL49" s="379"/>
      <c r="AM49" s="380"/>
      <c r="AN49" s="381"/>
      <c r="AO49" s="377" t="str">
        <f>IF(TRIM(AN49)="", "", IF(VLOOKUP(AN49,'Footnotes list'!$D$9:$E$58,2,FALSE)=0,"",VLOOKUP(AN49,'Footnotes list'!$D$9:$E$58,2,FALSE) ) )</f>
        <v/>
      </c>
      <c r="AP49" s="126" t="str">
        <f>IF(AND(TRIM(AP47)="", TRIM(AP48)=""), "", SUM(AP47,AP48))</f>
        <v/>
      </c>
      <c r="AQ49" s="379"/>
      <c r="AR49" s="380"/>
      <c r="AS49" s="381"/>
      <c r="AT49" s="377" t="str">
        <f>IF(TRIM(AS49)="", "", IF(VLOOKUP(AS49,'Footnotes list'!$D$9:$E$58,2,FALSE)=0,"",VLOOKUP(AS49,'Footnotes list'!$D$9:$E$58,2,FALSE) ) )</f>
        <v/>
      </c>
      <c r="AU49" s="126" t="str">
        <f>IF(AND(TRIM(AU47)="", TRIM(AU48)=""), "", SUM(AU47,AU48) )</f>
        <v/>
      </c>
      <c r="AV49" s="379"/>
      <c r="AW49" s="380"/>
      <c r="AX49" s="381"/>
      <c r="AY49" s="377" t="str">
        <f>IF(TRIM(AX49)="", "", IF(VLOOKUP(AX49,'Footnotes list'!$D$9:$E$58,2,FALSE)=0,"",VLOOKUP(AX49,'Footnotes list'!$D$9:$E$58,2,FALSE) ) )</f>
        <v/>
      </c>
    </row>
    <row r="50" spans="2:51" ht="15" customHeight="1" x14ac:dyDescent="0.35">
      <c r="B50" s="534" t="s">
        <v>124</v>
      </c>
      <c r="C50" s="41" t="s">
        <v>124</v>
      </c>
      <c r="D50" s="528" t="s">
        <v>90</v>
      </c>
      <c r="E50" s="42" t="s">
        <v>144</v>
      </c>
      <c r="F50" s="43" t="s">
        <v>151</v>
      </c>
      <c r="G50" s="372"/>
      <c r="H50" s="373"/>
      <c r="I50" s="374"/>
      <c r="J50" s="375"/>
      <c r="K50" s="376" t="str">
        <f>IF(TRIM(J50)="", "", IF(VLOOKUP(J50,'Footnotes list'!$D$9:$E$58,2,FALSE)=0,"",VLOOKUP(J50,'Footnotes list'!$D$9:$E$58,2,FALSE) ) )</f>
        <v/>
      </c>
      <c r="L50" s="372"/>
      <c r="M50" s="373"/>
      <c r="N50" s="374"/>
      <c r="O50" s="375"/>
      <c r="P50" s="376" t="str">
        <f>IF(TRIM(O50)="", "", IF(VLOOKUP(O50,'Footnotes list'!$D$9:$E$58,2,FALSE)=0,"",VLOOKUP(O50,'Footnotes list'!$D$9:$E$58,2,FALSE) ) )</f>
        <v/>
      </c>
      <c r="Q50" s="372"/>
      <c r="R50" s="373"/>
      <c r="S50" s="374"/>
      <c r="T50" s="375"/>
      <c r="U50" s="376" t="str">
        <f>IF(TRIM(T50)="", "", IF(VLOOKUP(T50,'Footnotes list'!$D$9:$E$58,2,FALSE)=0,"",VLOOKUP(T50,'Footnotes list'!$D$9:$E$58,2,FALSE) ) )</f>
        <v/>
      </c>
      <c r="V50" s="372"/>
      <c r="W50" s="373"/>
      <c r="X50" s="374"/>
      <c r="Y50" s="375"/>
      <c r="Z50" s="376" t="str">
        <f>IF(TRIM(Y50)="", "", IF(VLOOKUP(Y50,'Footnotes list'!$D$9:$E$58,2,FALSE)=0,"",VLOOKUP(Y50,'Footnotes list'!$D$9:$E$58,2,FALSE) ) )</f>
        <v/>
      </c>
      <c r="AA50" s="382" t="str">
        <f>IF(AND(TRIM(Q50)="",TRIM(V50)=""),"",Q50+V50)</f>
        <v/>
      </c>
      <c r="AB50" s="373"/>
      <c r="AC50" s="374"/>
      <c r="AD50" s="375"/>
      <c r="AE50" s="376" t="str">
        <f>IF(TRIM(AD50)="", "", IF(VLOOKUP(AD50,'Footnotes list'!$D$9:$E$58,2,FALSE)=0,"",VLOOKUP(AD50,'Footnotes list'!$D$9:$E$58,2,FALSE) ) )</f>
        <v/>
      </c>
      <c r="AF50" s="372"/>
      <c r="AG50" s="373"/>
      <c r="AH50" s="374"/>
      <c r="AI50" s="375"/>
      <c r="AJ50" s="376" t="str">
        <f>IF(TRIM(AI50)="", "", IF(VLOOKUP(AI50,'Footnotes list'!$D$9:$E$58,2,FALSE)=0,"",VLOOKUP(AI50,'Footnotes list'!$D$9:$E$58,2,FALSE) ) )</f>
        <v/>
      </c>
      <c r="AK50" s="372"/>
      <c r="AL50" s="373"/>
      <c r="AM50" s="374"/>
      <c r="AN50" s="375"/>
      <c r="AO50" s="376" t="str">
        <f>IF(TRIM(AN50)="", "", IF(VLOOKUP(AN50,'Footnotes list'!$D$9:$E$58,2,FALSE)=0,"",VLOOKUP(AN50,'Footnotes list'!$D$9:$E$58,2,FALSE) ) )</f>
        <v/>
      </c>
      <c r="AP50" s="382" t="str">
        <f>IF(AND(TRIM(AF50)="",TRIM(AK50)=""),"",AF50+AK50)</f>
        <v/>
      </c>
      <c r="AQ50" s="373"/>
      <c r="AR50" s="374"/>
      <c r="AS50" s="375"/>
      <c r="AT50" s="376" t="str">
        <f>IF(TRIM(AS50)="", "", IF(VLOOKUP(AS50,'Footnotes list'!$D$9:$E$58,2,FALSE)=0,"",VLOOKUP(AS50,'Footnotes list'!$D$9:$E$58,2,FALSE) ) )</f>
        <v/>
      </c>
      <c r="AU50" s="382" t="str">
        <f>IF(AND(TRIM(G50)="",TRIM(L50)="",TRIM(AA50)="",TRIM(AP50)=""),"",SUM(G50,L50,AA50,AP50))</f>
        <v/>
      </c>
      <c r="AV50" s="373"/>
      <c r="AW50" s="374"/>
      <c r="AX50" s="375"/>
      <c r="AY50" s="376" t="str">
        <f>IF(TRIM(AX50)="", "", IF(VLOOKUP(AX50,'Footnotes list'!$D$9:$E$58,2,FALSE)=0,"",VLOOKUP(AX50,'Footnotes list'!$D$9:$E$58,2,FALSE) ) )</f>
        <v/>
      </c>
    </row>
    <row r="51" spans="2:51" ht="15" customHeight="1" x14ac:dyDescent="0.35">
      <c r="B51" s="535"/>
      <c r="C51" s="50" t="s">
        <v>124</v>
      </c>
      <c r="D51" s="529"/>
      <c r="E51" s="51" t="s">
        <v>145</v>
      </c>
      <c r="F51" s="52" t="s">
        <v>152</v>
      </c>
      <c r="G51" s="378"/>
      <c r="H51" s="379"/>
      <c r="I51" s="380"/>
      <c r="J51" s="381"/>
      <c r="K51" s="377" t="str">
        <f>IF(TRIM(J51)="", "", IF(VLOOKUP(J51,'Footnotes list'!$D$9:$E$58,2,FALSE)=0,"",VLOOKUP(J51,'Footnotes list'!$D$9:$E$58,2,FALSE) ) )</f>
        <v/>
      </c>
      <c r="L51" s="378"/>
      <c r="M51" s="379"/>
      <c r="N51" s="380"/>
      <c r="O51" s="381"/>
      <c r="P51" s="377" t="str">
        <f>IF(TRIM(O51)="", "", IF(VLOOKUP(O51,'Footnotes list'!$D$9:$E$58,2,FALSE)=0,"",VLOOKUP(O51,'Footnotes list'!$D$9:$E$58,2,FALSE) ) )</f>
        <v/>
      </c>
      <c r="Q51" s="378"/>
      <c r="R51" s="379"/>
      <c r="S51" s="380"/>
      <c r="T51" s="381"/>
      <c r="U51" s="377" t="str">
        <f>IF(TRIM(T51)="", "", IF(VLOOKUP(T51,'Footnotes list'!$D$9:$E$58,2,FALSE)=0,"",VLOOKUP(T51,'Footnotes list'!$D$9:$E$58,2,FALSE) ) )</f>
        <v/>
      </c>
      <c r="V51" s="378"/>
      <c r="W51" s="379"/>
      <c r="X51" s="380"/>
      <c r="Y51" s="381"/>
      <c r="Z51" s="377" t="str">
        <f>IF(TRIM(Y51)="", "", IF(VLOOKUP(Y51,'Footnotes list'!$D$9:$E$58,2,FALSE)=0,"",VLOOKUP(Y51,'Footnotes list'!$D$9:$E$58,2,FALSE) ) )</f>
        <v/>
      </c>
      <c r="AA51" s="129" t="str">
        <f>IF(AND(TRIM(Q51)="",TRIM(V51)=""),"",Q51+V51)</f>
        <v/>
      </c>
      <c r="AB51" s="379"/>
      <c r="AC51" s="380"/>
      <c r="AD51" s="381"/>
      <c r="AE51" s="377" t="str">
        <f>IF(TRIM(AD51)="", "", IF(VLOOKUP(AD51,'Footnotes list'!$D$9:$E$58,2,FALSE)=0,"",VLOOKUP(AD51,'Footnotes list'!$D$9:$E$58,2,FALSE) ) )</f>
        <v/>
      </c>
      <c r="AF51" s="378"/>
      <c r="AG51" s="379"/>
      <c r="AH51" s="380"/>
      <c r="AI51" s="381"/>
      <c r="AJ51" s="377" t="str">
        <f>IF(TRIM(AI51)="", "", IF(VLOOKUP(AI51,'Footnotes list'!$D$9:$E$58,2,FALSE)=0,"",VLOOKUP(AI51,'Footnotes list'!$D$9:$E$58,2,FALSE) ) )</f>
        <v/>
      </c>
      <c r="AK51" s="378"/>
      <c r="AL51" s="379"/>
      <c r="AM51" s="380"/>
      <c r="AN51" s="381"/>
      <c r="AO51" s="377" t="str">
        <f>IF(TRIM(AN51)="", "", IF(VLOOKUP(AN51,'Footnotes list'!$D$9:$E$58,2,FALSE)=0,"",VLOOKUP(AN51,'Footnotes list'!$D$9:$E$58,2,FALSE) ) )</f>
        <v/>
      </c>
      <c r="AP51" s="129" t="str">
        <f>IF(AND(TRIM(AF51)="",TRIM(AK51)=""),"",AF51+AK51)</f>
        <v/>
      </c>
      <c r="AQ51" s="379"/>
      <c r="AR51" s="380"/>
      <c r="AS51" s="381"/>
      <c r="AT51" s="377" t="str">
        <f>IF(TRIM(AS51)="", "", IF(VLOOKUP(AS51,'Footnotes list'!$D$9:$E$58,2,FALSE)=0,"",VLOOKUP(AS51,'Footnotes list'!$D$9:$E$58,2,FALSE) ) )</f>
        <v/>
      </c>
      <c r="AU51" s="403" t="str">
        <f>IF(AND(TRIM(G51)="",TRIM(L51)="",TRIM(AA51)="",TRIM(AP51)=""),"",SUM(G51,L51,AA51,AP51))</f>
        <v/>
      </c>
      <c r="AV51" s="379"/>
      <c r="AW51" s="380"/>
      <c r="AX51" s="381"/>
      <c r="AY51" s="377" t="str">
        <f>IF(TRIM(AX51)="", "", IF(VLOOKUP(AX51,'Footnotes list'!$D$9:$E$58,2,FALSE)=0,"",VLOOKUP(AX51,'Footnotes list'!$D$9:$E$58,2,FALSE) ) )</f>
        <v/>
      </c>
    </row>
    <row r="52" spans="2:51" ht="15" customHeight="1" thickBot="1" x14ac:dyDescent="0.4">
      <c r="B52" s="536"/>
      <c r="C52" s="53" t="s">
        <v>124</v>
      </c>
      <c r="D52" s="530"/>
      <c r="E52" s="47" t="s">
        <v>146</v>
      </c>
      <c r="F52" s="54" t="s">
        <v>234</v>
      </c>
      <c r="G52" s="126" t="str">
        <f>IF(AND(TRIM(G50)="",TRIM(G51)=""),"",G50+G51)</f>
        <v/>
      </c>
      <c r="H52" s="379"/>
      <c r="I52" s="380"/>
      <c r="J52" s="381"/>
      <c r="K52" s="377" t="str">
        <f>IF(TRIM(J52)="", "", IF(VLOOKUP(J52,'Footnotes list'!$D$9:$E$58,2,FALSE)=0,"",VLOOKUP(J52,'Footnotes list'!$D$9:$E$58,2,FALSE) ) )</f>
        <v/>
      </c>
      <c r="L52" s="126" t="str">
        <f>IF(AND(TRIM(L50)="",TRIM(L51)=""),"",L50+L51)</f>
        <v/>
      </c>
      <c r="M52" s="379"/>
      <c r="N52" s="380"/>
      <c r="O52" s="381"/>
      <c r="P52" s="377" t="str">
        <f>IF(TRIM(O52)="", "", IF(VLOOKUP(O52,'Footnotes list'!$D$9:$E$58,2,FALSE)=0,"",VLOOKUP(O52,'Footnotes list'!$D$9:$E$58,2,FALSE) ) )</f>
        <v/>
      </c>
      <c r="Q52" s="126" t="str">
        <f>IF(AND(TRIM(Q50)="",TRIM(Q51)=""),"",Q50+Q51)</f>
        <v/>
      </c>
      <c r="R52" s="379"/>
      <c r="S52" s="380"/>
      <c r="T52" s="381"/>
      <c r="U52" s="377" t="str">
        <f>IF(TRIM(T52)="", "", IF(VLOOKUP(T52,'Footnotes list'!$D$9:$E$58,2,FALSE)=0,"",VLOOKUP(T52,'Footnotes list'!$D$9:$E$58,2,FALSE) ) )</f>
        <v/>
      </c>
      <c r="V52" s="126" t="str">
        <f>IF(AND(TRIM(V50)="",TRIM(V51)=""),"",V50+V51)</f>
        <v/>
      </c>
      <c r="W52" s="379"/>
      <c r="X52" s="380"/>
      <c r="Y52" s="381"/>
      <c r="Z52" s="377" t="str">
        <f>IF(TRIM(Y52)="", "", IF(VLOOKUP(Y52,'Footnotes list'!$D$9:$E$58,2,FALSE)=0,"",VLOOKUP(Y52,'Footnotes list'!$D$9:$E$58,2,FALSE) ) )</f>
        <v/>
      </c>
      <c r="AA52" s="126" t="str">
        <f>IF(AND(TRIM(AA50)="", TRIM(AA51)=""), "", SUM(AA50,AA51))</f>
        <v/>
      </c>
      <c r="AB52" s="379"/>
      <c r="AC52" s="380"/>
      <c r="AD52" s="381"/>
      <c r="AE52" s="377" t="str">
        <f>IF(TRIM(AD52)="", "", IF(VLOOKUP(AD52,'Footnotes list'!$D$9:$E$58,2,FALSE)=0,"",VLOOKUP(AD52,'Footnotes list'!$D$9:$E$58,2,FALSE) ) )</f>
        <v/>
      </c>
      <c r="AF52" s="126" t="str">
        <f>IF(AND(TRIM(AF50)="",TRIM(AF51)=""),"",AF50+AF51)</f>
        <v/>
      </c>
      <c r="AG52" s="379"/>
      <c r="AH52" s="380"/>
      <c r="AI52" s="381"/>
      <c r="AJ52" s="377" t="str">
        <f>IF(TRIM(AI52)="", "", IF(VLOOKUP(AI52,'Footnotes list'!$D$9:$E$58,2,FALSE)=0,"",VLOOKUP(AI52,'Footnotes list'!$D$9:$E$58,2,FALSE) ) )</f>
        <v/>
      </c>
      <c r="AK52" s="126" t="str">
        <f>IF(AND(TRIM(AK50)="",TRIM(AK51)=""),"",AK50+AK51)</f>
        <v/>
      </c>
      <c r="AL52" s="379"/>
      <c r="AM52" s="380"/>
      <c r="AN52" s="381"/>
      <c r="AO52" s="377" t="str">
        <f>IF(TRIM(AN52)="", "", IF(VLOOKUP(AN52,'Footnotes list'!$D$9:$E$58,2,FALSE)=0,"",VLOOKUP(AN52,'Footnotes list'!$D$9:$E$58,2,FALSE) ) )</f>
        <v/>
      </c>
      <c r="AP52" s="126" t="str">
        <f>IF(AND(TRIM(AP50)="", TRIM(AP51)=""), "", SUM(AP50,AP51))</f>
        <v/>
      </c>
      <c r="AQ52" s="379"/>
      <c r="AR52" s="380"/>
      <c r="AS52" s="381"/>
      <c r="AT52" s="377" t="str">
        <f>IF(TRIM(AS52)="", "", IF(VLOOKUP(AS52,'Footnotes list'!$D$9:$E$58,2,FALSE)=0,"",VLOOKUP(AS52,'Footnotes list'!$D$9:$E$58,2,FALSE) ) )</f>
        <v/>
      </c>
      <c r="AU52" s="126" t="str">
        <f>IF(AND(TRIM(AU50)="", TRIM(AU51)=""), "", SUM(AU50,AU51) )</f>
        <v/>
      </c>
      <c r="AV52" s="379"/>
      <c r="AW52" s="380"/>
      <c r="AX52" s="381"/>
      <c r="AY52" s="377" t="str">
        <f>IF(TRIM(AX52)="", "", IF(VLOOKUP(AX52,'Footnotes list'!$D$9:$E$58,2,FALSE)=0,"",VLOOKUP(AX52,'Footnotes list'!$D$9:$E$58,2,FALSE) ) )</f>
        <v/>
      </c>
    </row>
    <row r="53" spans="2:51" ht="15" customHeight="1" thickBot="1" x14ac:dyDescent="0.4">
      <c r="B53" s="534" t="s">
        <v>125</v>
      </c>
      <c r="C53" s="55"/>
      <c r="D53" s="528" t="s">
        <v>91</v>
      </c>
      <c r="E53" s="55"/>
      <c r="F53" s="45" t="s">
        <v>233</v>
      </c>
      <c r="G53" s="125"/>
      <c r="H53" s="137"/>
      <c r="I53" s="138"/>
      <c r="J53" s="139"/>
      <c r="K53" s="136"/>
      <c r="L53" s="125"/>
      <c r="M53" s="137"/>
      <c r="N53" s="138"/>
      <c r="O53" s="139"/>
      <c r="P53" s="136"/>
      <c r="Q53" s="125"/>
      <c r="R53" s="137"/>
      <c r="S53" s="138"/>
      <c r="T53" s="139"/>
      <c r="U53" s="136"/>
      <c r="V53" s="125"/>
      <c r="W53" s="137"/>
      <c r="X53" s="138"/>
      <c r="Y53" s="139"/>
      <c r="Z53" s="136"/>
      <c r="AA53" s="125"/>
      <c r="AB53" s="137"/>
      <c r="AC53" s="138"/>
      <c r="AD53" s="139"/>
      <c r="AE53" s="136"/>
      <c r="AF53" s="125"/>
      <c r="AG53" s="137"/>
      <c r="AH53" s="138"/>
      <c r="AI53" s="139"/>
      <c r="AJ53" s="136"/>
      <c r="AK53" s="125"/>
      <c r="AL53" s="137"/>
      <c r="AM53" s="138"/>
      <c r="AN53" s="139"/>
      <c r="AO53" s="136"/>
      <c r="AP53" s="125"/>
      <c r="AQ53" s="137"/>
      <c r="AR53" s="138"/>
      <c r="AS53" s="139"/>
      <c r="AT53" s="136"/>
      <c r="AU53" s="125"/>
      <c r="AV53" s="137"/>
      <c r="AW53" s="138"/>
      <c r="AX53" s="139"/>
      <c r="AY53" s="136"/>
    </row>
    <row r="54" spans="2:51" ht="15" customHeight="1" x14ac:dyDescent="0.35">
      <c r="B54" s="535"/>
      <c r="C54" s="50" t="s">
        <v>125</v>
      </c>
      <c r="D54" s="529"/>
      <c r="E54" s="51" t="s">
        <v>145</v>
      </c>
      <c r="F54" s="52" t="s">
        <v>152</v>
      </c>
      <c r="G54" s="378"/>
      <c r="H54" s="379"/>
      <c r="I54" s="380"/>
      <c r="J54" s="381"/>
      <c r="K54" s="377" t="str">
        <f>IF(TRIM(J54)="", "", IF(VLOOKUP(J54,'Footnotes list'!$D$9:$E$58,2,FALSE)=0,"",VLOOKUP(J54,'Footnotes list'!$D$9:$E$58,2,FALSE) ) )</f>
        <v/>
      </c>
      <c r="L54" s="378"/>
      <c r="M54" s="379"/>
      <c r="N54" s="380"/>
      <c r="O54" s="381"/>
      <c r="P54" s="377" t="str">
        <f>IF(TRIM(O54)="", "", IF(VLOOKUP(O54,'Footnotes list'!$D$9:$E$58,2,FALSE)=0,"",VLOOKUP(O54,'Footnotes list'!$D$9:$E$58,2,FALSE) ) )</f>
        <v/>
      </c>
      <c r="Q54" s="378"/>
      <c r="R54" s="379"/>
      <c r="S54" s="380"/>
      <c r="T54" s="381"/>
      <c r="U54" s="377" t="str">
        <f>IF(TRIM(T54)="", "", IF(VLOOKUP(T54,'Footnotes list'!$D$9:$E$58,2,FALSE)=0,"",VLOOKUP(T54,'Footnotes list'!$D$9:$E$58,2,FALSE) ) )</f>
        <v/>
      </c>
      <c r="V54" s="378"/>
      <c r="W54" s="379"/>
      <c r="X54" s="380"/>
      <c r="Y54" s="381"/>
      <c r="Z54" s="377" t="str">
        <f>IF(TRIM(Y54)="", "", IF(VLOOKUP(Y54,'Footnotes list'!$D$9:$E$58,2,FALSE)=0,"",VLOOKUP(Y54,'Footnotes list'!$D$9:$E$58,2,FALSE) ) )</f>
        <v/>
      </c>
      <c r="AA54" s="129" t="str">
        <f>IF(AND(TRIM(Q54)="",TRIM(V54)=""),"",Q54+V54)</f>
        <v/>
      </c>
      <c r="AB54" s="379"/>
      <c r="AC54" s="380"/>
      <c r="AD54" s="381"/>
      <c r="AE54" s="377" t="str">
        <f>IF(TRIM(AD54)="", "", IF(VLOOKUP(AD54,'Footnotes list'!$D$9:$E$58,2,FALSE)=0,"",VLOOKUP(AD54,'Footnotes list'!$D$9:$E$58,2,FALSE) ) )</f>
        <v/>
      </c>
      <c r="AF54" s="378"/>
      <c r="AG54" s="379"/>
      <c r="AH54" s="380"/>
      <c r="AI54" s="381"/>
      <c r="AJ54" s="377" t="str">
        <f>IF(TRIM(AI54)="", "", IF(VLOOKUP(AI54,'Footnotes list'!$D$9:$E$58,2,FALSE)=0,"",VLOOKUP(AI54,'Footnotes list'!$D$9:$E$58,2,FALSE) ) )</f>
        <v/>
      </c>
      <c r="AK54" s="378"/>
      <c r="AL54" s="379"/>
      <c r="AM54" s="380"/>
      <c r="AN54" s="381"/>
      <c r="AO54" s="377" t="str">
        <f>IF(TRIM(AN54)="", "", IF(VLOOKUP(AN54,'Footnotes list'!$D$9:$E$58,2,FALSE)=0,"",VLOOKUP(AN54,'Footnotes list'!$D$9:$E$58,2,FALSE) ) )</f>
        <v/>
      </c>
      <c r="AP54" s="129" t="str">
        <f>IF(AND(TRIM(AF54)="",TRIM(AK54)=""),"",AF54+AK54)</f>
        <v/>
      </c>
      <c r="AQ54" s="379"/>
      <c r="AR54" s="380"/>
      <c r="AS54" s="381"/>
      <c r="AT54" s="377" t="str">
        <f>IF(TRIM(AS54)="", "", IF(VLOOKUP(AS54,'Footnotes list'!$D$9:$E$58,2,FALSE)=0,"",VLOOKUP(AS54,'Footnotes list'!$D$9:$E$58,2,FALSE) ) )</f>
        <v/>
      </c>
      <c r="AU54" s="403" t="str">
        <f>IF(AND(TRIM(G54)="",TRIM(L54)="",TRIM(AA54)="",TRIM(AP54)=""),"",SUM(G54,L54,AA54,AP54))</f>
        <v/>
      </c>
      <c r="AV54" s="379"/>
      <c r="AW54" s="380"/>
      <c r="AX54" s="381"/>
      <c r="AY54" s="377" t="str">
        <f>IF(TRIM(AX54)="", "", IF(VLOOKUP(AX54,'Footnotes list'!$D$9:$E$58,2,FALSE)=0,"",VLOOKUP(AX54,'Footnotes list'!$D$9:$E$58,2,FALSE) ) )</f>
        <v/>
      </c>
    </row>
    <row r="55" spans="2:51" ht="15" customHeight="1" thickBot="1" x14ac:dyDescent="0.4">
      <c r="B55" s="536"/>
      <c r="C55" s="53" t="s">
        <v>125</v>
      </c>
      <c r="D55" s="530"/>
      <c r="E55" s="47" t="s">
        <v>146</v>
      </c>
      <c r="F55" s="54" t="s">
        <v>234</v>
      </c>
      <c r="G55" s="126" t="str">
        <f>IF(AND(TRIM(G53)="",TRIM(G54)=""),"",G53+G54)</f>
        <v/>
      </c>
      <c r="H55" s="379"/>
      <c r="I55" s="380"/>
      <c r="J55" s="381"/>
      <c r="K55" s="377" t="str">
        <f>IF(TRIM(J55)="", "", IF(VLOOKUP(J55,'Footnotes list'!$D$9:$E$58,2,FALSE)=0,"",VLOOKUP(J55,'Footnotes list'!$D$9:$E$58,2,FALSE) ) )</f>
        <v/>
      </c>
      <c r="L55" s="126" t="str">
        <f>IF(AND(TRIM(L53)="",TRIM(L54)=""),"",L53+L54)</f>
        <v/>
      </c>
      <c r="M55" s="379"/>
      <c r="N55" s="380"/>
      <c r="O55" s="381"/>
      <c r="P55" s="377" t="str">
        <f>IF(TRIM(O55)="", "", IF(VLOOKUP(O55,'Footnotes list'!$D$9:$E$58,2,FALSE)=0,"",VLOOKUP(O55,'Footnotes list'!$D$9:$E$58,2,FALSE) ) )</f>
        <v/>
      </c>
      <c r="Q55" s="126" t="str">
        <f>IF(AND(TRIM(Q53)="",TRIM(Q54)=""),"",Q53+Q54)</f>
        <v/>
      </c>
      <c r="R55" s="379"/>
      <c r="S55" s="380"/>
      <c r="T55" s="381"/>
      <c r="U55" s="377" t="str">
        <f>IF(TRIM(T55)="", "", IF(VLOOKUP(T55,'Footnotes list'!$D$9:$E$58,2,FALSE)=0,"",VLOOKUP(T55,'Footnotes list'!$D$9:$E$58,2,FALSE) ) )</f>
        <v/>
      </c>
      <c r="V55" s="126" t="str">
        <f>IF(AND(TRIM(V53)="",TRIM(V54)=""),"",V53+V54)</f>
        <v/>
      </c>
      <c r="W55" s="379"/>
      <c r="X55" s="380"/>
      <c r="Y55" s="381"/>
      <c r="Z55" s="377" t="str">
        <f>IF(TRIM(Y55)="", "", IF(VLOOKUP(Y55,'Footnotes list'!$D$9:$E$58,2,FALSE)=0,"",VLOOKUP(Y55,'Footnotes list'!$D$9:$E$58,2,FALSE) ) )</f>
        <v/>
      </c>
      <c r="AA55" s="126" t="str">
        <f>IF(AND(TRIM(AA53)="", TRIM(AA54)=""), "", SUM(AA53,AA54))</f>
        <v/>
      </c>
      <c r="AB55" s="379"/>
      <c r="AC55" s="380"/>
      <c r="AD55" s="381"/>
      <c r="AE55" s="377" t="str">
        <f>IF(TRIM(AD55)="", "", IF(VLOOKUP(AD55,'Footnotes list'!$D$9:$E$58,2,FALSE)=0,"",VLOOKUP(AD55,'Footnotes list'!$D$9:$E$58,2,FALSE) ) )</f>
        <v/>
      </c>
      <c r="AF55" s="126" t="str">
        <f>IF(AND(TRIM(AF53)="",TRIM(AF54)=""),"",AF53+AF54)</f>
        <v/>
      </c>
      <c r="AG55" s="379"/>
      <c r="AH55" s="380"/>
      <c r="AI55" s="381"/>
      <c r="AJ55" s="377" t="str">
        <f>IF(TRIM(AI55)="", "", IF(VLOOKUP(AI55,'Footnotes list'!$D$9:$E$58,2,FALSE)=0,"",VLOOKUP(AI55,'Footnotes list'!$D$9:$E$58,2,FALSE) ) )</f>
        <v/>
      </c>
      <c r="AK55" s="126" t="str">
        <f>IF(AND(TRIM(AK53)="",TRIM(AK54)=""),"",AK53+AK54)</f>
        <v/>
      </c>
      <c r="AL55" s="379"/>
      <c r="AM55" s="380"/>
      <c r="AN55" s="381"/>
      <c r="AO55" s="377" t="str">
        <f>IF(TRIM(AN55)="", "", IF(VLOOKUP(AN55,'Footnotes list'!$D$9:$E$58,2,FALSE)=0,"",VLOOKUP(AN55,'Footnotes list'!$D$9:$E$58,2,FALSE) ) )</f>
        <v/>
      </c>
      <c r="AP55" s="126" t="str">
        <f>IF(AND(TRIM(AP53)="", TRIM(AP54)=""), "", SUM(AP53,AP54))</f>
        <v/>
      </c>
      <c r="AQ55" s="379"/>
      <c r="AR55" s="380"/>
      <c r="AS55" s="381"/>
      <c r="AT55" s="377" t="str">
        <f>IF(TRIM(AS55)="", "", IF(VLOOKUP(AS55,'Footnotes list'!$D$9:$E$58,2,FALSE)=0,"",VLOOKUP(AS55,'Footnotes list'!$D$9:$E$58,2,FALSE) ) )</f>
        <v/>
      </c>
      <c r="AU55" s="126" t="str">
        <f>IF(AND(TRIM(AU53)="", TRIM(AU54)=""), "", SUM(AU53,AU54) )</f>
        <v/>
      </c>
      <c r="AV55" s="379"/>
      <c r="AW55" s="380"/>
      <c r="AX55" s="381"/>
      <c r="AY55" s="377" t="str">
        <f>IF(TRIM(AX55)="", "", IF(VLOOKUP(AX55,'Footnotes list'!$D$9:$E$58,2,FALSE)=0,"",VLOOKUP(AX55,'Footnotes list'!$D$9:$E$58,2,FALSE) ) )</f>
        <v/>
      </c>
    </row>
    <row r="56" spans="2:51" ht="15" customHeight="1" x14ac:dyDescent="0.35">
      <c r="B56" s="534" t="s">
        <v>126</v>
      </c>
      <c r="C56" s="41" t="s">
        <v>126</v>
      </c>
      <c r="D56" s="528" t="s">
        <v>92</v>
      </c>
      <c r="E56" s="42" t="s">
        <v>144</v>
      </c>
      <c r="F56" s="43" t="s">
        <v>151</v>
      </c>
      <c r="G56" s="372"/>
      <c r="H56" s="373"/>
      <c r="I56" s="374"/>
      <c r="J56" s="375"/>
      <c r="K56" s="376" t="str">
        <f>IF(TRIM(J56)="", "", IF(VLOOKUP(J56,'Footnotes list'!$D$9:$E$58,2,FALSE)=0,"",VLOOKUP(J56,'Footnotes list'!$D$9:$E$58,2,FALSE) ) )</f>
        <v/>
      </c>
      <c r="L56" s="372"/>
      <c r="M56" s="373"/>
      <c r="N56" s="374"/>
      <c r="O56" s="375"/>
      <c r="P56" s="376" t="str">
        <f>IF(TRIM(O56)="", "", IF(VLOOKUP(O56,'Footnotes list'!$D$9:$E$58,2,FALSE)=0,"",VLOOKUP(O56,'Footnotes list'!$D$9:$E$58,2,FALSE) ) )</f>
        <v/>
      </c>
      <c r="Q56" s="372"/>
      <c r="R56" s="373"/>
      <c r="S56" s="374"/>
      <c r="T56" s="375"/>
      <c r="U56" s="376" t="str">
        <f>IF(TRIM(T56)="", "", IF(VLOOKUP(T56,'Footnotes list'!$D$9:$E$58,2,FALSE)=0,"",VLOOKUP(T56,'Footnotes list'!$D$9:$E$58,2,FALSE) ) )</f>
        <v/>
      </c>
      <c r="V56" s="372"/>
      <c r="W56" s="373"/>
      <c r="X56" s="374"/>
      <c r="Y56" s="375"/>
      <c r="Z56" s="376" t="str">
        <f>IF(TRIM(Y56)="", "", IF(VLOOKUP(Y56,'Footnotes list'!$D$9:$E$58,2,FALSE)=0,"",VLOOKUP(Y56,'Footnotes list'!$D$9:$E$58,2,FALSE) ) )</f>
        <v/>
      </c>
      <c r="AA56" s="128" t="str">
        <f>IF(AND(TRIM(Q56)="",TRIM(V56)=""),"",Q56+V56)</f>
        <v/>
      </c>
      <c r="AB56" s="373"/>
      <c r="AC56" s="374"/>
      <c r="AD56" s="375"/>
      <c r="AE56" s="376" t="str">
        <f>IF(TRIM(AD56)="", "", IF(VLOOKUP(AD56,'Footnotes list'!$D$9:$E$58,2,FALSE)=0,"",VLOOKUP(AD56,'Footnotes list'!$D$9:$E$58,2,FALSE) ) )</f>
        <v/>
      </c>
      <c r="AF56" s="372"/>
      <c r="AG56" s="373"/>
      <c r="AH56" s="374"/>
      <c r="AI56" s="375"/>
      <c r="AJ56" s="376" t="str">
        <f>IF(TRIM(AI56)="", "", IF(VLOOKUP(AI56,'Footnotes list'!$D$9:$E$58,2,FALSE)=0,"",VLOOKUP(AI56,'Footnotes list'!$D$9:$E$58,2,FALSE) ) )</f>
        <v/>
      </c>
      <c r="AK56" s="372"/>
      <c r="AL56" s="373"/>
      <c r="AM56" s="374"/>
      <c r="AN56" s="375"/>
      <c r="AO56" s="376" t="str">
        <f>IF(TRIM(AN56)="", "", IF(VLOOKUP(AN56,'Footnotes list'!$D$9:$E$58,2,FALSE)=0,"",VLOOKUP(AN56,'Footnotes list'!$D$9:$E$58,2,FALSE) ) )</f>
        <v/>
      </c>
      <c r="AP56" s="128" t="str">
        <f>IF(AND(TRIM(AF56)="",TRIM(AK56)=""),"",AF56+AK56)</f>
        <v/>
      </c>
      <c r="AQ56" s="373"/>
      <c r="AR56" s="374"/>
      <c r="AS56" s="375"/>
      <c r="AT56" s="376" t="str">
        <f>IF(TRIM(AS56)="", "", IF(VLOOKUP(AS56,'Footnotes list'!$D$9:$E$58,2,FALSE)=0,"",VLOOKUP(AS56,'Footnotes list'!$D$9:$E$58,2,FALSE) ) )</f>
        <v/>
      </c>
      <c r="AU56" s="382" t="str">
        <f>IF(AND(TRIM(G56)="",TRIM(L56)="",TRIM(AA56)="",TRIM(AP56)=""),"",SUM(G56,L56,AA56,AP56))</f>
        <v/>
      </c>
      <c r="AV56" s="373"/>
      <c r="AW56" s="374"/>
      <c r="AX56" s="375"/>
      <c r="AY56" s="376" t="str">
        <f>IF(TRIM(AX56)="", "", IF(VLOOKUP(AX56,'Footnotes list'!$D$9:$E$58,2,FALSE)=0,"",VLOOKUP(AX56,'Footnotes list'!$D$9:$E$58,2,FALSE) ) )</f>
        <v/>
      </c>
    </row>
    <row r="57" spans="2:51" ht="15" customHeight="1" thickBot="1" x14ac:dyDescent="0.4">
      <c r="B57" s="535"/>
      <c r="C57" s="44"/>
      <c r="D57" s="529"/>
      <c r="E57" s="44"/>
      <c r="F57" s="45" t="s">
        <v>233</v>
      </c>
      <c r="G57" s="383"/>
      <c r="H57" s="384"/>
      <c r="I57" s="384"/>
      <c r="J57" s="384"/>
      <c r="K57" s="385"/>
      <c r="L57" s="383"/>
      <c r="M57" s="384"/>
      <c r="N57" s="384"/>
      <c r="O57" s="384"/>
      <c r="P57" s="385"/>
      <c r="Q57" s="383"/>
      <c r="R57" s="384"/>
      <c r="S57" s="384"/>
      <c r="T57" s="384"/>
      <c r="U57" s="385"/>
      <c r="V57" s="383"/>
      <c r="W57" s="384"/>
      <c r="X57" s="384"/>
      <c r="Y57" s="384"/>
      <c r="Z57" s="385"/>
      <c r="AA57" s="383"/>
      <c r="AB57" s="384"/>
      <c r="AC57" s="384"/>
      <c r="AD57" s="384"/>
      <c r="AE57" s="385"/>
      <c r="AF57" s="383"/>
      <c r="AG57" s="384"/>
      <c r="AH57" s="384"/>
      <c r="AI57" s="384"/>
      <c r="AJ57" s="385"/>
      <c r="AK57" s="383"/>
      <c r="AL57" s="384"/>
      <c r="AM57" s="384"/>
      <c r="AN57" s="384"/>
      <c r="AO57" s="385"/>
      <c r="AP57" s="383"/>
      <c r="AQ57" s="384"/>
      <c r="AR57" s="384"/>
      <c r="AS57" s="384"/>
      <c r="AT57" s="385"/>
      <c r="AU57" s="383"/>
      <c r="AV57" s="384"/>
      <c r="AW57" s="384"/>
      <c r="AX57" s="384"/>
      <c r="AY57" s="385"/>
    </row>
    <row r="58" spans="2:51" ht="15" customHeight="1" thickBot="1" x14ac:dyDescent="0.4">
      <c r="B58" s="536"/>
      <c r="C58" s="53" t="s">
        <v>126</v>
      </c>
      <c r="D58" s="530"/>
      <c r="E58" s="47" t="s">
        <v>146</v>
      </c>
      <c r="F58" s="54" t="s">
        <v>234</v>
      </c>
      <c r="G58" s="126" t="str">
        <f>IF(AND(TRIM(G56)="",TRIM(G57)=""),"",G56+G57)</f>
        <v/>
      </c>
      <c r="H58" s="373"/>
      <c r="I58" s="374"/>
      <c r="J58" s="375"/>
      <c r="K58" s="376" t="str">
        <f>IF(TRIM(J58)="", "", IF(VLOOKUP(J58,'Footnotes list'!$D$9:$E$58,2,FALSE)=0,"",VLOOKUP(J58,'Footnotes list'!$D$9:$E$58,2,FALSE) ) )</f>
        <v/>
      </c>
      <c r="L58" s="126" t="str">
        <f>IF(AND(TRIM(L56)="",TRIM(L57)=""),"",L56+L57)</f>
        <v/>
      </c>
      <c r="M58" s="373"/>
      <c r="N58" s="374"/>
      <c r="O58" s="375"/>
      <c r="P58" s="376" t="str">
        <f>IF(TRIM(O58)="", "", IF(VLOOKUP(O58,'Footnotes list'!$D$9:$E$58,2,FALSE)=0,"",VLOOKUP(O58,'Footnotes list'!$D$9:$E$58,2,FALSE) ) )</f>
        <v/>
      </c>
      <c r="Q58" s="126" t="str">
        <f>IF(AND(TRIM(Q56)="",TRIM(Q57)=""),"",Q56+Q57)</f>
        <v/>
      </c>
      <c r="R58" s="373"/>
      <c r="S58" s="374"/>
      <c r="T58" s="375"/>
      <c r="U58" s="376" t="str">
        <f>IF(TRIM(T58)="", "", IF(VLOOKUP(T58,'Footnotes list'!$D$9:$E$58,2,FALSE)=0,"",VLOOKUP(T58,'Footnotes list'!$D$9:$E$58,2,FALSE) ) )</f>
        <v/>
      </c>
      <c r="V58" s="126" t="str">
        <f>IF(AND(TRIM(V56)="",TRIM(V57)=""),"",V56+V57)</f>
        <v/>
      </c>
      <c r="W58" s="373"/>
      <c r="X58" s="374"/>
      <c r="Y58" s="375"/>
      <c r="Z58" s="376" t="str">
        <f>IF(TRIM(Y58)="", "", IF(VLOOKUP(Y58,'Footnotes list'!$D$9:$E$58,2,FALSE)=0,"",VLOOKUP(Y58,'Footnotes list'!$D$9:$E$58,2,FALSE) ) )</f>
        <v/>
      </c>
      <c r="AA58" s="127" t="str">
        <f>IF(AND(TRIM(AA56)="", TRIM(AA57)=""), "", SUM(AA56,AA57))</f>
        <v/>
      </c>
      <c r="AB58" s="373"/>
      <c r="AC58" s="374"/>
      <c r="AD58" s="375"/>
      <c r="AE58" s="376" t="str">
        <f>IF(TRIM(AD58)="", "", IF(VLOOKUP(AD58,'Footnotes list'!$D$9:$E$58,2,FALSE)=0,"",VLOOKUP(AD58,'Footnotes list'!$D$9:$E$58,2,FALSE) ) )</f>
        <v/>
      </c>
      <c r="AF58" s="126" t="str">
        <f>IF(AND(TRIM(AF56)="",TRIM(AF57)=""),"",AF56+AF57)</f>
        <v/>
      </c>
      <c r="AG58" s="373"/>
      <c r="AH58" s="374"/>
      <c r="AI58" s="375"/>
      <c r="AJ58" s="376" t="str">
        <f>IF(TRIM(AI58)="", "", IF(VLOOKUP(AI58,'Footnotes list'!$D$9:$E$58,2,FALSE)=0,"",VLOOKUP(AI58,'Footnotes list'!$D$9:$E$58,2,FALSE) ) )</f>
        <v/>
      </c>
      <c r="AK58" s="126" t="str">
        <f>IF(AND(TRIM(AK56)="",TRIM(AK57)=""),"",AK56+AK57)</f>
        <v/>
      </c>
      <c r="AL58" s="373"/>
      <c r="AM58" s="374"/>
      <c r="AN58" s="375"/>
      <c r="AO58" s="376" t="str">
        <f>IF(TRIM(AN58)="", "", IF(VLOOKUP(AN58,'Footnotes list'!$D$9:$E$58,2,FALSE)=0,"",VLOOKUP(AN58,'Footnotes list'!$D$9:$E$58,2,FALSE) ) )</f>
        <v/>
      </c>
      <c r="AP58" s="127" t="str">
        <f>IF(AND(TRIM(AP56)="", TRIM(AP57)=""), "", SUM(AP56,AP57))</f>
        <v/>
      </c>
      <c r="AQ58" s="373"/>
      <c r="AR58" s="374"/>
      <c r="AS58" s="375"/>
      <c r="AT58" s="376" t="str">
        <f>IF(TRIM(AS58)="", "", IF(VLOOKUP(AS58,'Footnotes list'!$D$9:$E$58,2,FALSE)=0,"",VLOOKUP(AS58,'Footnotes list'!$D$9:$E$58,2,FALSE) ) )</f>
        <v/>
      </c>
      <c r="AU58" s="126" t="str">
        <f>IF(AND(TRIM(AU56)="", TRIM(AU57)=""), "", SUM(AU56,AU57) )</f>
        <v/>
      </c>
      <c r="AV58" s="373"/>
      <c r="AW58" s="374"/>
      <c r="AX58" s="375"/>
      <c r="AY58" s="376" t="str">
        <f>IF(TRIM(AX58)="", "", IF(VLOOKUP(AX58,'Footnotes list'!$D$9:$E$58,2,FALSE)=0,"",VLOOKUP(AX58,'Footnotes list'!$D$9:$E$58,2,FALSE) ) )</f>
        <v/>
      </c>
    </row>
    <row r="59" spans="2:51" ht="15" customHeight="1" x14ac:dyDescent="0.35">
      <c r="B59" s="534" t="s">
        <v>127</v>
      </c>
      <c r="C59" s="41" t="s">
        <v>127</v>
      </c>
      <c r="D59" s="528" t="s">
        <v>159</v>
      </c>
      <c r="E59" s="42" t="s">
        <v>144</v>
      </c>
      <c r="F59" s="43" t="s">
        <v>151</v>
      </c>
      <c r="G59" s="372"/>
      <c r="H59" s="373"/>
      <c r="I59" s="374"/>
      <c r="J59" s="375"/>
      <c r="K59" s="376" t="str">
        <f>IF(TRIM(J59)="", "", IF(VLOOKUP(J59,'Footnotes list'!$D$9:$E$58,2,FALSE)=0,"",VLOOKUP(J59,'Footnotes list'!$D$9:$E$58,2,FALSE) ) )</f>
        <v/>
      </c>
      <c r="L59" s="372"/>
      <c r="M59" s="373"/>
      <c r="N59" s="374"/>
      <c r="O59" s="375"/>
      <c r="P59" s="376" t="str">
        <f>IF(TRIM(O59)="", "", IF(VLOOKUP(O59,'Footnotes list'!$D$9:$E$58,2,FALSE)=0,"",VLOOKUP(O59,'Footnotes list'!$D$9:$E$58,2,FALSE) ) )</f>
        <v/>
      </c>
      <c r="Q59" s="372"/>
      <c r="R59" s="373"/>
      <c r="S59" s="374"/>
      <c r="T59" s="375"/>
      <c r="U59" s="376" t="str">
        <f>IF(TRIM(T59)="", "", IF(VLOOKUP(T59,'Footnotes list'!$D$9:$E$58,2,FALSE)=0,"",VLOOKUP(T59,'Footnotes list'!$D$9:$E$58,2,FALSE) ) )</f>
        <v/>
      </c>
      <c r="V59" s="372"/>
      <c r="W59" s="373"/>
      <c r="X59" s="374"/>
      <c r="Y59" s="375"/>
      <c r="Z59" s="376" t="str">
        <f>IF(TRIM(Y59)="", "", IF(VLOOKUP(Y59,'Footnotes list'!$D$9:$E$58,2,FALSE)=0,"",VLOOKUP(Y59,'Footnotes list'!$D$9:$E$58,2,FALSE) ) )</f>
        <v/>
      </c>
      <c r="AA59" s="382" t="str">
        <f>IF(AND(TRIM(Q59)="",TRIM(V59)=""),"",Q59+V59)</f>
        <v/>
      </c>
      <c r="AB59" s="373"/>
      <c r="AC59" s="374"/>
      <c r="AD59" s="375"/>
      <c r="AE59" s="376" t="str">
        <f>IF(TRIM(AD59)="", "", IF(VLOOKUP(AD59,'Footnotes list'!$D$9:$E$58,2,FALSE)=0,"",VLOOKUP(AD59,'Footnotes list'!$D$9:$E$58,2,FALSE) ) )</f>
        <v/>
      </c>
      <c r="AF59" s="372"/>
      <c r="AG59" s="373"/>
      <c r="AH59" s="374"/>
      <c r="AI59" s="375"/>
      <c r="AJ59" s="376" t="str">
        <f>IF(TRIM(AI59)="", "", IF(VLOOKUP(AI59,'Footnotes list'!$D$9:$E$58,2,FALSE)=0,"",VLOOKUP(AI59,'Footnotes list'!$D$9:$E$58,2,FALSE) ) )</f>
        <v/>
      </c>
      <c r="AK59" s="372"/>
      <c r="AL59" s="373"/>
      <c r="AM59" s="374"/>
      <c r="AN59" s="375"/>
      <c r="AO59" s="376" t="str">
        <f>IF(TRIM(AN59)="", "", IF(VLOOKUP(AN59,'Footnotes list'!$D$9:$E$58,2,FALSE)=0,"",VLOOKUP(AN59,'Footnotes list'!$D$9:$E$58,2,FALSE) ) )</f>
        <v/>
      </c>
      <c r="AP59" s="382" t="str">
        <f>IF(AND(TRIM(AF59)="",TRIM(AK59)=""),"",AF59+AK59)</f>
        <v/>
      </c>
      <c r="AQ59" s="373"/>
      <c r="AR59" s="374"/>
      <c r="AS59" s="375"/>
      <c r="AT59" s="376" t="str">
        <f>IF(TRIM(AS59)="", "", IF(VLOOKUP(AS59,'Footnotes list'!$D$9:$E$58,2,FALSE)=0,"",VLOOKUP(AS59,'Footnotes list'!$D$9:$E$58,2,FALSE) ) )</f>
        <v/>
      </c>
      <c r="AU59" s="382" t="str">
        <f>IF(AND(TRIM(G59)="",TRIM(L59)="",TRIM(AA59)="",TRIM(AP59)=""),"",SUM(G59,L59,AA59,AP59))</f>
        <v/>
      </c>
      <c r="AV59" s="373"/>
      <c r="AW59" s="374"/>
      <c r="AX59" s="375"/>
      <c r="AY59" s="376" t="str">
        <f>IF(TRIM(AX59)="", "", IF(VLOOKUP(AX59,'Footnotes list'!$D$9:$E$58,2,FALSE)=0,"",VLOOKUP(AX59,'Footnotes list'!$D$9:$E$58,2,FALSE) ) )</f>
        <v/>
      </c>
    </row>
    <row r="60" spans="2:51" ht="15" customHeight="1" x14ac:dyDescent="0.35">
      <c r="B60" s="535"/>
      <c r="C60" s="50" t="s">
        <v>127</v>
      </c>
      <c r="D60" s="529"/>
      <c r="E60" s="51" t="s">
        <v>145</v>
      </c>
      <c r="F60" s="52" t="s">
        <v>152</v>
      </c>
      <c r="G60" s="378"/>
      <c r="H60" s="379"/>
      <c r="I60" s="380"/>
      <c r="J60" s="381"/>
      <c r="K60" s="377" t="str">
        <f>IF(TRIM(J60)="", "", IF(VLOOKUP(J60,'Footnotes list'!$D$9:$E$58,2,FALSE)=0,"",VLOOKUP(J60,'Footnotes list'!$D$9:$E$58,2,FALSE) ) )</f>
        <v/>
      </c>
      <c r="L60" s="378"/>
      <c r="M60" s="379"/>
      <c r="N60" s="380"/>
      <c r="O60" s="381"/>
      <c r="P60" s="377" t="str">
        <f>IF(TRIM(O60)="", "", IF(VLOOKUP(O60,'Footnotes list'!$D$9:$E$58,2,FALSE)=0,"",VLOOKUP(O60,'Footnotes list'!$D$9:$E$58,2,FALSE) ) )</f>
        <v/>
      </c>
      <c r="Q60" s="378"/>
      <c r="R60" s="379"/>
      <c r="S60" s="380"/>
      <c r="T60" s="381"/>
      <c r="U60" s="377" t="str">
        <f>IF(TRIM(T60)="", "", IF(VLOOKUP(T60,'Footnotes list'!$D$9:$E$58,2,FALSE)=0,"",VLOOKUP(T60,'Footnotes list'!$D$9:$E$58,2,FALSE) ) )</f>
        <v/>
      </c>
      <c r="V60" s="378"/>
      <c r="W60" s="379"/>
      <c r="X60" s="380"/>
      <c r="Y60" s="381"/>
      <c r="Z60" s="377" t="str">
        <f>IF(TRIM(Y60)="", "", IF(VLOOKUP(Y60,'Footnotes list'!$D$9:$E$58,2,FALSE)=0,"",VLOOKUP(Y60,'Footnotes list'!$D$9:$E$58,2,FALSE) ) )</f>
        <v/>
      </c>
      <c r="AA60" s="129" t="str">
        <f>IF(AND(TRIM(Q60)="",TRIM(V60)=""),"",Q60+V60)</f>
        <v/>
      </c>
      <c r="AB60" s="379"/>
      <c r="AC60" s="380"/>
      <c r="AD60" s="381"/>
      <c r="AE60" s="377" t="str">
        <f>IF(TRIM(AD60)="", "", IF(VLOOKUP(AD60,'Footnotes list'!$D$9:$E$58,2,FALSE)=0,"",VLOOKUP(AD60,'Footnotes list'!$D$9:$E$58,2,FALSE) ) )</f>
        <v/>
      </c>
      <c r="AF60" s="378"/>
      <c r="AG60" s="379"/>
      <c r="AH60" s="380"/>
      <c r="AI60" s="381"/>
      <c r="AJ60" s="377" t="str">
        <f>IF(TRIM(AI60)="", "", IF(VLOOKUP(AI60,'Footnotes list'!$D$9:$E$58,2,FALSE)=0,"",VLOOKUP(AI60,'Footnotes list'!$D$9:$E$58,2,FALSE) ) )</f>
        <v/>
      </c>
      <c r="AK60" s="378"/>
      <c r="AL60" s="379"/>
      <c r="AM60" s="380"/>
      <c r="AN60" s="381"/>
      <c r="AO60" s="377" t="str">
        <f>IF(TRIM(AN60)="", "", IF(VLOOKUP(AN60,'Footnotes list'!$D$9:$E$58,2,FALSE)=0,"",VLOOKUP(AN60,'Footnotes list'!$D$9:$E$58,2,FALSE) ) )</f>
        <v/>
      </c>
      <c r="AP60" s="129" t="str">
        <f>IF(AND(TRIM(AF60)="",TRIM(AK60)=""),"",AF60+AK60)</f>
        <v/>
      </c>
      <c r="AQ60" s="379"/>
      <c r="AR60" s="380"/>
      <c r="AS60" s="381"/>
      <c r="AT60" s="377" t="str">
        <f>IF(TRIM(AS60)="", "", IF(VLOOKUP(AS60,'Footnotes list'!$D$9:$E$58,2,FALSE)=0,"",VLOOKUP(AS60,'Footnotes list'!$D$9:$E$58,2,FALSE) ) )</f>
        <v/>
      </c>
      <c r="AU60" s="403" t="str">
        <f>IF(AND(TRIM(G60)="",TRIM(L60)="",TRIM(AA60)="",TRIM(AP60)=""),"",SUM(G60,L60,AA60,AP60))</f>
        <v/>
      </c>
      <c r="AV60" s="379"/>
      <c r="AW60" s="380"/>
      <c r="AX60" s="381"/>
      <c r="AY60" s="377" t="str">
        <f>IF(TRIM(AX60)="", "", IF(VLOOKUP(AX60,'Footnotes list'!$D$9:$E$58,2,FALSE)=0,"",VLOOKUP(AX60,'Footnotes list'!$D$9:$E$58,2,FALSE) ) )</f>
        <v/>
      </c>
    </row>
    <row r="61" spans="2:51" ht="15" customHeight="1" thickBot="1" x14ac:dyDescent="0.4">
      <c r="B61" s="536"/>
      <c r="C61" s="53" t="s">
        <v>127</v>
      </c>
      <c r="D61" s="530"/>
      <c r="E61" s="47" t="s">
        <v>146</v>
      </c>
      <c r="F61" s="54" t="s">
        <v>234</v>
      </c>
      <c r="G61" s="126" t="str">
        <f>IF(AND(TRIM(G59)="",TRIM(G60)=""),"",G59+G60)</f>
        <v/>
      </c>
      <c r="H61" s="379"/>
      <c r="I61" s="380"/>
      <c r="J61" s="381"/>
      <c r="K61" s="377" t="str">
        <f>IF(TRIM(J61)="", "", IF(VLOOKUP(J61,'Footnotes list'!$D$9:$E$58,2,FALSE)=0,"",VLOOKUP(J61,'Footnotes list'!$D$9:$E$58,2,FALSE) ) )</f>
        <v/>
      </c>
      <c r="L61" s="126" t="str">
        <f>IF(AND(TRIM(L59)="",TRIM(L60)=""),"",L59+L60)</f>
        <v/>
      </c>
      <c r="M61" s="379"/>
      <c r="N61" s="380"/>
      <c r="O61" s="381"/>
      <c r="P61" s="377" t="str">
        <f>IF(TRIM(O61)="", "", IF(VLOOKUP(O61,'Footnotes list'!$D$9:$E$58,2,FALSE)=0,"",VLOOKUP(O61,'Footnotes list'!$D$9:$E$58,2,FALSE) ) )</f>
        <v/>
      </c>
      <c r="Q61" s="126" t="str">
        <f>IF(AND(TRIM(Q59)="",TRIM(Q60)=""),"",Q59+Q60)</f>
        <v/>
      </c>
      <c r="R61" s="379"/>
      <c r="S61" s="380"/>
      <c r="T61" s="381"/>
      <c r="U61" s="377" t="str">
        <f>IF(TRIM(T61)="", "", IF(VLOOKUP(T61,'Footnotes list'!$D$9:$E$58,2,FALSE)=0,"",VLOOKUP(T61,'Footnotes list'!$D$9:$E$58,2,FALSE) ) )</f>
        <v/>
      </c>
      <c r="V61" s="126" t="str">
        <f>IF(AND(TRIM(V59)="",TRIM(V60)=""),"",V59+V60)</f>
        <v/>
      </c>
      <c r="W61" s="379"/>
      <c r="X61" s="380"/>
      <c r="Y61" s="381"/>
      <c r="Z61" s="377" t="str">
        <f>IF(TRIM(Y61)="", "", IF(VLOOKUP(Y61,'Footnotes list'!$D$9:$E$58,2,FALSE)=0,"",VLOOKUP(Y61,'Footnotes list'!$D$9:$E$58,2,FALSE) ) )</f>
        <v/>
      </c>
      <c r="AA61" s="126" t="str">
        <f>IF(AND(TRIM(AA59)="", TRIM(AA60)=""), "", SUM(AA59,AA60))</f>
        <v/>
      </c>
      <c r="AB61" s="379"/>
      <c r="AC61" s="380"/>
      <c r="AD61" s="381"/>
      <c r="AE61" s="377" t="str">
        <f>IF(TRIM(AD61)="", "", IF(VLOOKUP(AD61,'Footnotes list'!$D$9:$E$58,2,FALSE)=0,"",VLOOKUP(AD61,'Footnotes list'!$D$9:$E$58,2,FALSE) ) )</f>
        <v/>
      </c>
      <c r="AF61" s="126" t="str">
        <f>IF(AND(TRIM(AF59)="",TRIM(AF60)=""),"",AF59+AF60)</f>
        <v/>
      </c>
      <c r="AG61" s="379"/>
      <c r="AH61" s="380"/>
      <c r="AI61" s="381"/>
      <c r="AJ61" s="377" t="str">
        <f>IF(TRIM(AI61)="", "", IF(VLOOKUP(AI61,'Footnotes list'!$D$9:$E$58,2,FALSE)=0,"",VLOOKUP(AI61,'Footnotes list'!$D$9:$E$58,2,FALSE) ) )</f>
        <v/>
      </c>
      <c r="AK61" s="126" t="str">
        <f>IF(AND(TRIM(AK59)="",TRIM(AK60)=""),"",AK59+AK60)</f>
        <v/>
      </c>
      <c r="AL61" s="379"/>
      <c r="AM61" s="380"/>
      <c r="AN61" s="381"/>
      <c r="AO61" s="377" t="str">
        <f>IF(TRIM(AN61)="", "", IF(VLOOKUP(AN61,'Footnotes list'!$D$9:$E$58,2,FALSE)=0,"",VLOOKUP(AN61,'Footnotes list'!$D$9:$E$58,2,FALSE) ) )</f>
        <v/>
      </c>
      <c r="AP61" s="126" t="str">
        <f>IF(AND(TRIM(AP59)="", TRIM(AP60)=""), "", SUM(AP59,AP60))</f>
        <v/>
      </c>
      <c r="AQ61" s="379"/>
      <c r="AR61" s="380"/>
      <c r="AS61" s="381"/>
      <c r="AT61" s="377" t="str">
        <f>IF(TRIM(AS61)="", "", IF(VLOOKUP(AS61,'Footnotes list'!$D$9:$E$58,2,FALSE)=0,"",VLOOKUP(AS61,'Footnotes list'!$D$9:$E$58,2,FALSE) ) )</f>
        <v/>
      </c>
      <c r="AU61" s="126" t="str">
        <f>IF(AND(TRIM(AU59)="", TRIM(AU60)=""), "", SUM(AU59,AU60) )</f>
        <v/>
      </c>
      <c r="AV61" s="379"/>
      <c r="AW61" s="380"/>
      <c r="AX61" s="381"/>
      <c r="AY61" s="377" t="str">
        <f>IF(TRIM(AX61)="", "", IF(VLOOKUP(AX61,'Footnotes list'!$D$9:$E$58,2,FALSE)=0,"",VLOOKUP(AX61,'Footnotes list'!$D$9:$E$58,2,FALSE) ) )</f>
        <v/>
      </c>
    </row>
    <row r="62" spans="2:51" ht="15" customHeight="1" x14ac:dyDescent="0.35">
      <c r="B62" s="534" t="s">
        <v>128</v>
      </c>
      <c r="C62" s="41" t="s">
        <v>128</v>
      </c>
      <c r="D62" s="528" t="s">
        <v>93</v>
      </c>
      <c r="E62" s="42" t="s">
        <v>144</v>
      </c>
      <c r="F62" s="43" t="s">
        <v>151</v>
      </c>
      <c r="G62" s="372"/>
      <c r="H62" s="373"/>
      <c r="I62" s="374"/>
      <c r="J62" s="375"/>
      <c r="K62" s="376" t="str">
        <f>IF(TRIM(J62)="", "", IF(VLOOKUP(J62,'Footnotes list'!$D$9:$E$58,2,FALSE)=0,"",VLOOKUP(J62,'Footnotes list'!$D$9:$E$58,2,FALSE) ) )</f>
        <v/>
      </c>
      <c r="L62" s="372"/>
      <c r="M62" s="373"/>
      <c r="N62" s="374"/>
      <c r="O62" s="375"/>
      <c r="P62" s="376" t="str">
        <f>IF(TRIM(O62)="", "", IF(VLOOKUP(O62,'Footnotes list'!$D$9:$E$58,2,FALSE)=0,"",VLOOKUP(O62,'Footnotes list'!$D$9:$E$58,2,FALSE) ) )</f>
        <v/>
      </c>
      <c r="Q62" s="372"/>
      <c r="R62" s="373"/>
      <c r="S62" s="374"/>
      <c r="T62" s="375"/>
      <c r="U62" s="376" t="str">
        <f>IF(TRIM(T62)="", "", IF(VLOOKUP(T62,'Footnotes list'!$D$9:$E$58,2,FALSE)=0,"",VLOOKUP(T62,'Footnotes list'!$D$9:$E$58,2,FALSE) ) )</f>
        <v/>
      </c>
      <c r="V62" s="372"/>
      <c r="W62" s="373"/>
      <c r="X62" s="374"/>
      <c r="Y62" s="375"/>
      <c r="Z62" s="376" t="str">
        <f>IF(TRIM(Y62)="", "", IF(VLOOKUP(Y62,'Footnotes list'!$D$9:$E$58,2,FALSE)=0,"",VLOOKUP(Y62,'Footnotes list'!$D$9:$E$58,2,FALSE) ) )</f>
        <v/>
      </c>
      <c r="AA62" s="382" t="str">
        <f>IF(AND(TRIM(Q62)="",TRIM(V62)=""),"",Q62+V62)</f>
        <v/>
      </c>
      <c r="AB62" s="373"/>
      <c r="AC62" s="374"/>
      <c r="AD62" s="375"/>
      <c r="AE62" s="376" t="str">
        <f>IF(TRIM(AD62)="", "", IF(VLOOKUP(AD62,'Footnotes list'!$D$9:$E$58,2,FALSE)=0,"",VLOOKUP(AD62,'Footnotes list'!$D$9:$E$58,2,FALSE) ) )</f>
        <v/>
      </c>
      <c r="AF62" s="372"/>
      <c r="AG62" s="373"/>
      <c r="AH62" s="374"/>
      <c r="AI62" s="375"/>
      <c r="AJ62" s="376" t="str">
        <f>IF(TRIM(AI62)="", "", IF(VLOOKUP(AI62,'Footnotes list'!$D$9:$E$58,2,FALSE)=0,"",VLOOKUP(AI62,'Footnotes list'!$D$9:$E$58,2,FALSE) ) )</f>
        <v/>
      </c>
      <c r="AK62" s="372"/>
      <c r="AL62" s="373"/>
      <c r="AM62" s="374"/>
      <c r="AN62" s="375"/>
      <c r="AO62" s="376" t="str">
        <f>IF(TRIM(AN62)="", "", IF(VLOOKUP(AN62,'Footnotes list'!$D$9:$E$58,2,FALSE)=0,"",VLOOKUP(AN62,'Footnotes list'!$D$9:$E$58,2,FALSE) ) )</f>
        <v/>
      </c>
      <c r="AP62" s="382" t="str">
        <f>IF(AND(TRIM(AF62)="",TRIM(AK62)=""),"",AF62+AK62)</f>
        <v/>
      </c>
      <c r="AQ62" s="373"/>
      <c r="AR62" s="374"/>
      <c r="AS62" s="375"/>
      <c r="AT62" s="376" t="str">
        <f>IF(TRIM(AS62)="", "", IF(VLOOKUP(AS62,'Footnotes list'!$D$9:$E$58,2,FALSE)=0,"",VLOOKUP(AS62,'Footnotes list'!$D$9:$E$58,2,FALSE) ) )</f>
        <v/>
      </c>
      <c r="AU62" s="382" t="str">
        <f>IF(AND(TRIM(G62)="",TRIM(L62)="",TRIM(AA62)="",TRIM(AP62)=""),"",SUM(G62,L62,AA62,AP62))</f>
        <v/>
      </c>
      <c r="AV62" s="373"/>
      <c r="AW62" s="374"/>
      <c r="AX62" s="375"/>
      <c r="AY62" s="376" t="str">
        <f>IF(TRIM(AX62)="", "", IF(VLOOKUP(AX62,'Footnotes list'!$D$9:$E$58,2,FALSE)=0,"",VLOOKUP(AX62,'Footnotes list'!$D$9:$E$58,2,FALSE) ) )</f>
        <v/>
      </c>
    </row>
    <row r="63" spans="2:51" ht="15" customHeight="1" x14ac:dyDescent="0.35">
      <c r="B63" s="535"/>
      <c r="C63" s="50" t="s">
        <v>128</v>
      </c>
      <c r="D63" s="529"/>
      <c r="E63" s="51" t="s">
        <v>145</v>
      </c>
      <c r="F63" s="52" t="s">
        <v>152</v>
      </c>
      <c r="G63" s="378"/>
      <c r="H63" s="379"/>
      <c r="I63" s="380"/>
      <c r="J63" s="381"/>
      <c r="K63" s="377" t="str">
        <f>IF(TRIM(J63)="", "", IF(VLOOKUP(J63,'Footnotes list'!$D$9:$E$58,2,FALSE)=0,"",VLOOKUP(J63,'Footnotes list'!$D$9:$E$58,2,FALSE) ) )</f>
        <v/>
      </c>
      <c r="L63" s="378"/>
      <c r="M63" s="379"/>
      <c r="N63" s="380"/>
      <c r="O63" s="381"/>
      <c r="P63" s="377" t="str">
        <f>IF(TRIM(O63)="", "", IF(VLOOKUP(O63,'Footnotes list'!$D$9:$E$58,2,FALSE)=0,"",VLOOKUP(O63,'Footnotes list'!$D$9:$E$58,2,FALSE) ) )</f>
        <v/>
      </c>
      <c r="Q63" s="378"/>
      <c r="R63" s="379"/>
      <c r="S63" s="380"/>
      <c r="T63" s="381"/>
      <c r="U63" s="377" t="str">
        <f>IF(TRIM(T63)="", "", IF(VLOOKUP(T63,'Footnotes list'!$D$9:$E$58,2,FALSE)=0,"",VLOOKUP(T63,'Footnotes list'!$D$9:$E$58,2,FALSE) ) )</f>
        <v/>
      </c>
      <c r="V63" s="378"/>
      <c r="W63" s="379"/>
      <c r="X63" s="380"/>
      <c r="Y63" s="381"/>
      <c r="Z63" s="377" t="str">
        <f>IF(TRIM(Y63)="", "", IF(VLOOKUP(Y63,'Footnotes list'!$D$9:$E$58,2,FALSE)=0,"",VLOOKUP(Y63,'Footnotes list'!$D$9:$E$58,2,FALSE) ) )</f>
        <v/>
      </c>
      <c r="AA63" s="129" t="str">
        <f>IF(AND(TRIM(Q63)="",TRIM(V63)=""),"",Q63+V63)</f>
        <v/>
      </c>
      <c r="AB63" s="379"/>
      <c r="AC63" s="380"/>
      <c r="AD63" s="381"/>
      <c r="AE63" s="377" t="str">
        <f>IF(TRIM(AD63)="", "", IF(VLOOKUP(AD63,'Footnotes list'!$D$9:$E$58,2,FALSE)=0,"",VLOOKUP(AD63,'Footnotes list'!$D$9:$E$58,2,FALSE) ) )</f>
        <v/>
      </c>
      <c r="AF63" s="378"/>
      <c r="AG63" s="379"/>
      <c r="AH63" s="380"/>
      <c r="AI63" s="381"/>
      <c r="AJ63" s="377" t="str">
        <f>IF(TRIM(AI63)="", "", IF(VLOOKUP(AI63,'Footnotes list'!$D$9:$E$58,2,FALSE)=0,"",VLOOKUP(AI63,'Footnotes list'!$D$9:$E$58,2,FALSE) ) )</f>
        <v/>
      </c>
      <c r="AK63" s="378"/>
      <c r="AL63" s="379"/>
      <c r="AM63" s="380"/>
      <c r="AN63" s="381"/>
      <c r="AO63" s="377" t="str">
        <f>IF(TRIM(AN63)="", "", IF(VLOOKUP(AN63,'Footnotes list'!$D$9:$E$58,2,FALSE)=0,"",VLOOKUP(AN63,'Footnotes list'!$D$9:$E$58,2,FALSE) ) )</f>
        <v/>
      </c>
      <c r="AP63" s="129" t="str">
        <f>IF(AND(TRIM(AF63)="",TRIM(AK63)=""),"",AF63+AK63)</f>
        <v/>
      </c>
      <c r="AQ63" s="379"/>
      <c r="AR63" s="380"/>
      <c r="AS63" s="381"/>
      <c r="AT63" s="377" t="str">
        <f>IF(TRIM(AS63)="", "", IF(VLOOKUP(AS63,'Footnotes list'!$D$9:$E$58,2,FALSE)=0,"",VLOOKUP(AS63,'Footnotes list'!$D$9:$E$58,2,FALSE) ) )</f>
        <v/>
      </c>
      <c r="AU63" s="403" t="str">
        <f>IF(AND(TRIM(G63)="",TRIM(L63)="",TRIM(AA63)="",TRIM(AP63)=""),"",SUM(G63,L63,AA63,AP63))</f>
        <v/>
      </c>
      <c r="AV63" s="379"/>
      <c r="AW63" s="380"/>
      <c r="AX63" s="381"/>
      <c r="AY63" s="377" t="str">
        <f>IF(TRIM(AX63)="", "", IF(VLOOKUP(AX63,'Footnotes list'!$D$9:$E$58,2,FALSE)=0,"",VLOOKUP(AX63,'Footnotes list'!$D$9:$E$58,2,FALSE) ) )</f>
        <v/>
      </c>
    </row>
    <row r="64" spans="2:51" ht="15" customHeight="1" thickBot="1" x14ac:dyDescent="0.4">
      <c r="B64" s="536"/>
      <c r="C64" s="53" t="s">
        <v>128</v>
      </c>
      <c r="D64" s="530"/>
      <c r="E64" s="47" t="s">
        <v>146</v>
      </c>
      <c r="F64" s="54" t="s">
        <v>234</v>
      </c>
      <c r="G64" s="126" t="str">
        <f>IF(AND(TRIM(G62)="",TRIM(G63)=""),"",G62+G63)</f>
        <v/>
      </c>
      <c r="H64" s="379"/>
      <c r="I64" s="380"/>
      <c r="J64" s="381"/>
      <c r="K64" s="377" t="str">
        <f>IF(TRIM(J64)="", "", IF(VLOOKUP(J64,'Footnotes list'!$D$9:$E$58,2,FALSE)=0,"",VLOOKUP(J64,'Footnotes list'!$D$9:$E$58,2,FALSE) ) )</f>
        <v/>
      </c>
      <c r="L64" s="126" t="str">
        <f>IF(AND(TRIM(L62)="",TRIM(L63)=""),"",L62+L63)</f>
        <v/>
      </c>
      <c r="M64" s="379"/>
      <c r="N64" s="380"/>
      <c r="O64" s="381"/>
      <c r="P64" s="377" t="str">
        <f>IF(TRIM(O64)="", "", IF(VLOOKUP(O64,'Footnotes list'!$D$9:$E$58,2,FALSE)=0,"",VLOOKUP(O64,'Footnotes list'!$D$9:$E$58,2,FALSE) ) )</f>
        <v/>
      </c>
      <c r="Q64" s="126" t="str">
        <f>IF(AND(TRIM(Q62)="",TRIM(Q63)=""),"",Q62+Q63)</f>
        <v/>
      </c>
      <c r="R64" s="379"/>
      <c r="S64" s="380"/>
      <c r="T64" s="381"/>
      <c r="U64" s="377" t="str">
        <f>IF(TRIM(T64)="", "", IF(VLOOKUP(T64,'Footnotes list'!$D$9:$E$58,2,FALSE)=0,"",VLOOKUP(T64,'Footnotes list'!$D$9:$E$58,2,FALSE) ) )</f>
        <v/>
      </c>
      <c r="V64" s="126" t="str">
        <f>IF(AND(TRIM(V62)="",TRIM(V63)=""),"",V62+V63)</f>
        <v/>
      </c>
      <c r="W64" s="379"/>
      <c r="X64" s="380"/>
      <c r="Y64" s="381"/>
      <c r="Z64" s="377" t="str">
        <f>IF(TRIM(Y64)="", "", IF(VLOOKUP(Y64,'Footnotes list'!$D$9:$E$58,2,FALSE)=0,"",VLOOKUP(Y64,'Footnotes list'!$D$9:$E$58,2,FALSE) ) )</f>
        <v/>
      </c>
      <c r="AA64" s="126" t="str">
        <f>IF(AND(TRIM(AA62)="", TRIM(AA63)=""), "", SUM(AA62,AA63))</f>
        <v/>
      </c>
      <c r="AB64" s="379"/>
      <c r="AC64" s="380"/>
      <c r="AD64" s="381"/>
      <c r="AE64" s="377" t="str">
        <f>IF(TRIM(AD64)="", "", IF(VLOOKUP(AD64,'Footnotes list'!$D$9:$E$58,2,FALSE)=0,"",VLOOKUP(AD64,'Footnotes list'!$D$9:$E$58,2,FALSE) ) )</f>
        <v/>
      </c>
      <c r="AF64" s="126" t="str">
        <f>IF(AND(TRIM(AF62)="",TRIM(AF63)=""),"",AF62+AF63)</f>
        <v/>
      </c>
      <c r="AG64" s="379"/>
      <c r="AH64" s="380"/>
      <c r="AI64" s="381"/>
      <c r="AJ64" s="377" t="str">
        <f>IF(TRIM(AI64)="", "", IF(VLOOKUP(AI64,'Footnotes list'!$D$9:$E$58,2,FALSE)=0,"",VLOOKUP(AI64,'Footnotes list'!$D$9:$E$58,2,FALSE) ) )</f>
        <v/>
      </c>
      <c r="AK64" s="126" t="str">
        <f>IF(AND(TRIM(AK62)="",TRIM(AK63)=""),"",AK62+AK63)</f>
        <v/>
      </c>
      <c r="AL64" s="379"/>
      <c r="AM64" s="380"/>
      <c r="AN64" s="381"/>
      <c r="AO64" s="377" t="str">
        <f>IF(TRIM(AN64)="", "", IF(VLOOKUP(AN64,'Footnotes list'!$D$9:$E$58,2,FALSE)=0,"",VLOOKUP(AN64,'Footnotes list'!$D$9:$E$58,2,FALSE) ) )</f>
        <v/>
      </c>
      <c r="AP64" s="126" t="str">
        <f>IF(AND(TRIM(AP62)="", TRIM(AP63)=""), "", SUM(AP62,AP63))</f>
        <v/>
      </c>
      <c r="AQ64" s="379"/>
      <c r="AR64" s="380"/>
      <c r="AS64" s="381"/>
      <c r="AT64" s="377" t="str">
        <f>IF(TRIM(AS64)="", "", IF(VLOOKUP(AS64,'Footnotes list'!$D$9:$E$58,2,FALSE)=0,"",VLOOKUP(AS64,'Footnotes list'!$D$9:$E$58,2,FALSE) ) )</f>
        <v/>
      </c>
      <c r="AU64" s="126" t="str">
        <f>IF(AND(TRIM(AU62)="", TRIM(AU63)=""), "", SUM(AU62,AU63) )</f>
        <v/>
      </c>
      <c r="AV64" s="379"/>
      <c r="AW64" s="380"/>
      <c r="AX64" s="381"/>
      <c r="AY64" s="377" t="str">
        <f>IF(TRIM(AX64)="", "", IF(VLOOKUP(AX64,'Footnotes list'!$D$9:$E$58,2,FALSE)=0,"",VLOOKUP(AX64,'Footnotes list'!$D$9:$E$58,2,FALSE) ) )</f>
        <v/>
      </c>
    </row>
    <row r="65" spans="2:51" ht="15" customHeight="1" x14ac:dyDescent="0.35">
      <c r="B65" s="534" t="s">
        <v>129</v>
      </c>
      <c r="C65" s="41" t="s">
        <v>129</v>
      </c>
      <c r="D65" s="528" t="s">
        <v>94</v>
      </c>
      <c r="E65" s="42" t="s">
        <v>144</v>
      </c>
      <c r="F65" s="43" t="s">
        <v>151</v>
      </c>
      <c r="G65" s="372"/>
      <c r="H65" s="373"/>
      <c r="I65" s="374"/>
      <c r="J65" s="375"/>
      <c r="K65" s="376" t="str">
        <f>IF(TRIM(J65)="", "", IF(VLOOKUP(J65,'Footnotes list'!$D$9:$E$58,2,FALSE)=0,"",VLOOKUP(J65,'Footnotes list'!$D$9:$E$58,2,FALSE) ) )</f>
        <v/>
      </c>
      <c r="L65" s="372"/>
      <c r="M65" s="373"/>
      <c r="N65" s="374"/>
      <c r="O65" s="375"/>
      <c r="P65" s="376" t="str">
        <f>IF(TRIM(O65)="", "", IF(VLOOKUP(O65,'Footnotes list'!$D$9:$E$58,2,FALSE)=0,"",VLOOKUP(O65,'Footnotes list'!$D$9:$E$58,2,FALSE) ) )</f>
        <v/>
      </c>
      <c r="Q65" s="372"/>
      <c r="R65" s="373"/>
      <c r="S65" s="374"/>
      <c r="T65" s="375"/>
      <c r="U65" s="376" t="str">
        <f>IF(TRIM(T65)="", "", IF(VLOOKUP(T65,'Footnotes list'!$D$9:$E$58,2,FALSE)=0,"",VLOOKUP(T65,'Footnotes list'!$D$9:$E$58,2,FALSE) ) )</f>
        <v/>
      </c>
      <c r="V65" s="372"/>
      <c r="W65" s="373"/>
      <c r="X65" s="374"/>
      <c r="Y65" s="375"/>
      <c r="Z65" s="376" t="str">
        <f>IF(TRIM(Y65)="", "", IF(VLOOKUP(Y65,'Footnotes list'!$D$9:$E$58,2,FALSE)=0,"",VLOOKUP(Y65,'Footnotes list'!$D$9:$E$58,2,FALSE) ) )</f>
        <v/>
      </c>
      <c r="AA65" s="382" t="str">
        <f>IF(AND(TRIM(Q65)="",TRIM(V65)=""),"",Q65+V65)</f>
        <v/>
      </c>
      <c r="AB65" s="373"/>
      <c r="AC65" s="374"/>
      <c r="AD65" s="375"/>
      <c r="AE65" s="376" t="str">
        <f>IF(TRIM(AD65)="", "", IF(VLOOKUP(AD65,'Footnotes list'!$D$9:$E$58,2,FALSE)=0,"",VLOOKUP(AD65,'Footnotes list'!$D$9:$E$58,2,FALSE) ) )</f>
        <v/>
      </c>
      <c r="AF65" s="372"/>
      <c r="AG65" s="373"/>
      <c r="AH65" s="374"/>
      <c r="AI65" s="375"/>
      <c r="AJ65" s="376" t="str">
        <f>IF(TRIM(AI65)="", "", IF(VLOOKUP(AI65,'Footnotes list'!$D$9:$E$58,2,FALSE)=0,"",VLOOKUP(AI65,'Footnotes list'!$D$9:$E$58,2,FALSE) ) )</f>
        <v/>
      </c>
      <c r="AK65" s="372"/>
      <c r="AL65" s="373"/>
      <c r="AM65" s="374"/>
      <c r="AN65" s="375"/>
      <c r="AO65" s="376" t="str">
        <f>IF(TRIM(AN65)="", "", IF(VLOOKUP(AN65,'Footnotes list'!$D$9:$E$58,2,FALSE)=0,"",VLOOKUP(AN65,'Footnotes list'!$D$9:$E$58,2,FALSE) ) )</f>
        <v/>
      </c>
      <c r="AP65" s="382" t="str">
        <f>IF(AND(TRIM(AF65)="",TRIM(AK65)=""),"",AF65+AK65)</f>
        <v/>
      </c>
      <c r="AQ65" s="373"/>
      <c r="AR65" s="374"/>
      <c r="AS65" s="375"/>
      <c r="AT65" s="376" t="str">
        <f>IF(TRIM(AS65)="", "", IF(VLOOKUP(AS65,'Footnotes list'!$D$9:$E$58,2,FALSE)=0,"",VLOOKUP(AS65,'Footnotes list'!$D$9:$E$58,2,FALSE) ) )</f>
        <v/>
      </c>
      <c r="AU65" s="382" t="str">
        <f>IF(AND(TRIM(G65)="",TRIM(L65)="",TRIM(AA65)="",TRIM(AP65)=""),"",SUM(G65,L65,AA65,AP65))</f>
        <v/>
      </c>
      <c r="AV65" s="373"/>
      <c r="AW65" s="374"/>
      <c r="AX65" s="375"/>
      <c r="AY65" s="376" t="str">
        <f>IF(TRIM(AX65)="", "", IF(VLOOKUP(AX65,'Footnotes list'!$D$9:$E$58,2,FALSE)=0,"",VLOOKUP(AX65,'Footnotes list'!$D$9:$E$58,2,FALSE) ) )</f>
        <v/>
      </c>
    </row>
    <row r="66" spans="2:51" ht="15" customHeight="1" x14ac:dyDescent="0.35">
      <c r="B66" s="535"/>
      <c r="C66" s="50" t="s">
        <v>129</v>
      </c>
      <c r="D66" s="529"/>
      <c r="E66" s="51" t="s">
        <v>145</v>
      </c>
      <c r="F66" s="52" t="s">
        <v>152</v>
      </c>
      <c r="G66" s="378"/>
      <c r="H66" s="379"/>
      <c r="I66" s="380"/>
      <c r="J66" s="381"/>
      <c r="K66" s="377" t="str">
        <f>IF(TRIM(J66)="", "", IF(VLOOKUP(J66,'Footnotes list'!$D$9:$E$58,2,FALSE)=0,"",VLOOKUP(J66,'Footnotes list'!$D$9:$E$58,2,FALSE) ) )</f>
        <v/>
      </c>
      <c r="L66" s="378"/>
      <c r="M66" s="379"/>
      <c r="N66" s="380"/>
      <c r="O66" s="381"/>
      <c r="P66" s="377" t="str">
        <f>IF(TRIM(O66)="", "", IF(VLOOKUP(O66,'Footnotes list'!$D$9:$E$58,2,FALSE)=0,"",VLOOKUP(O66,'Footnotes list'!$D$9:$E$58,2,FALSE) ) )</f>
        <v/>
      </c>
      <c r="Q66" s="378"/>
      <c r="R66" s="379"/>
      <c r="S66" s="380"/>
      <c r="T66" s="381"/>
      <c r="U66" s="377" t="str">
        <f>IF(TRIM(T66)="", "", IF(VLOOKUP(T66,'Footnotes list'!$D$9:$E$58,2,FALSE)=0,"",VLOOKUP(T66,'Footnotes list'!$D$9:$E$58,2,FALSE) ) )</f>
        <v/>
      </c>
      <c r="V66" s="378"/>
      <c r="W66" s="379"/>
      <c r="X66" s="380"/>
      <c r="Y66" s="381"/>
      <c r="Z66" s="377" t="str">
        <f>IF(TRIM(Y66)="", "", IF(VLOOKUP(Y66,'Footnotes list'!$D$9:$E$58,2,FALSE)=0,"",VLOOKUP(Y66,'Footnotes list'!$D$9:$E$58,2,FALSE) ) )</f>
        <v/>
      </c>
      <c r="AA66" s="129" t="str">
        <f>IF(AND(TRIM(Q66)="",TRIM(V66)=""),"",Q66+V66)</f>
        <v/>
      </c>
      <c r="AB66" s="379"/>
      <c r="AC66" s="380"/>
      <c r="AD66" s="381"/>
      <c r="AE66" s="377" t="str">
        <f>IF(TRIM(AD66)="", "", IF(VLOOKUP(AD66,'Footnotes list'!$D$9:$E$58,2,FALSE)=0,"",VLOOKUP(AD66,'Footnotes list'!$D$9:$E$58,2,FALSE) ) )</f>
        <v/>
      </c>
      <c r="AF66" s="378"/>
      <c r="AG66" s="379"/>
      <c r="AH66" s="380"/>
      <c r="AI66" s="381"/>
      <c r="AJ66" s="377" t="str">
        <f>IF(TRIM(AI66)="", "", IF(VLOOKUP(AI66,'Footnotes list'!$D$9:$E$58,2,FALSE)=0,"",VLOOKUP(AI66,'Footnotes list'!$D$9:$E$58,2,FALSE) ) )</f>
        <v/>
      </c>
      <c r="AK66" s="378"/>
      <c r="AL66" s="379"/>
      <c r="AM66" s="380"/>
      <c r="AN66" s="381"/>
      <c r="AO66" s="377" t="str">
        <f>IF(TRIM(AN66)="", "", IF(VLOOKUP(AN66,'Footnotes list'!$D$9:$E$58,2,FALSE)=0,"",VLOOKUP(AN66,'Footnotes list'!$D$9:$E$58,2,FALSE) ) )</f>
        <v/>
      </c>
      <c r="AP66" s="129" t="str">
        <f>IF(AND(TRIM(AF66)="",TRIM(AK66)=""),"",AF66+AK66)</f>
        <v/>
      </c>
      <c r="AQ66" s="379"/>
      <c r="AR66" s="380"/>
      <c r="AS66" s="381"/>
      <c r="AT66" s="377" t="str">
        <f>IF(TRIM(AS66)="", "", IF(VLOOKUP(AS66,'Footnotes list'!$D$9:$E$58,2,FALSE)=0,"",VLOOKUP(AS66,'Footnotes list'!$D$9:$E$58,2,FALSE) ) )</f>
        <v/>
      </c>
      <c r="AU66" s="403" t="str">
        <f>IF(AND(TRIM(G66)="",TRIM(L66)="",TRIM(AA66)="",TRIM(AP66)=""),"",SUM(G66,L66,AA66,AP66))</f>
        <v/>
      </c>
      <c r="AV66" s="379"/>
      <c r="AW66" s="380"/>
      <c r="AX66" s="381"/>
      <c r="AY66" s="377" t="str">
        <f>IF(TRIM(AX66)="", "", IF(VLOOKUP(AX66,'Footnotes list'!$D$9:$E$58,2,FALSE)=0,"",VLOOKUP(AX66,'Footnotes list'!$D$9:$E$58,2,FALSE) ) )</f>
        <v/>
      </c>
    </row>
    <row r="67" spans="2:51" ht="15" customHeight="1" thickBot="1" x14ac:dyDescent="0.4">
      <c r="B67" s="536"/>
      <c r="C67" s="53" t="s">
        <v>129</v>
      </c>
      <c r="D67" s="530"/>
      <c r="E67" s="47" t="s">
        <v>146</v>
      </c>
      <c r="F67" s="54" t="s">
        <v>234</v>
      </c>
      <c r="G67" s="126" t="str">
        <f>IF(AND(TRIM(G65)="",TRIM(G66)=""),"",G65+G66)</f>
        <v/>
      </c>
      <c r="H67" s="379"/>
      <c r="I67" s="380"/>
      <c r="J67" s="381"/>
      <c r="K67" s="377" t="str">
        <f>IF(TRIM(J67)="", "", IF(VLOOKUP(J67,'Footnotes list'!$D$9:$E$58,2,FALSE)=0,"",VLOOKUP(J67,'Footnotes list'!$D$9:$E$58,2,FALSE) ) )</f>
        <v/>
      </c>
      <c r="L67" s="126" t="str">
        <f>IF(AND(TRIM(L65)="",TRIM(L66)=""),"",L65+L66)</f>
        <v/>
      </c>
      <c r="M67" s="379"/>
      <c r="N67" s="380"/>
      <c r="O67" s="381"/>
      <c r="P67" s="377" t="str">
        <f>IF(TRIM(O67)="", "", IF(VLOOKUP(O67,'Footnotes list'!$D$9:$E$58,2,FALSE)=0,"",VLOOKUP(O67,'Footnotes list'!$D$9:$E$58,2,FALSE) ) )</f>
        <v/>
      </c>
      <c r="Q67" s="126" t="str">
        <f>IF(AND(TRIM(Q65)="",TRIM(Q66)=""),"",Q65+Q66)</f>
        <v/>
      </c>
      <c r="R67" s="379"/>
      <c r="S67" s="380"/>
      <c r="T67" s="381"/>
      <c r="U67" s="377" t="str">
        <f>IF(TRIM(T67)="", "", IF(VLOOKUP(T67,'Footnotes list'!$D$9:$E$58,2,FALSE)=0,"",VLOOKUP(T67,'Footnotes list'!$D$9:$E$58,2,FALSE) ) )</f>
        <v/>
      </c>
      <c r="V67" s="126" t="str">
        <f>IF(AND(TRIM(V65)="",TRIM(V66)=""),"",V65+V66)</f>
        <v/>
      </c>
      <c r="W67" s="379"/>
      <c r="X67" s="380"/>
      <c r="Y67" s="381"/>
      <c r="Z67" s="377" t="str">
        <f>IF(TRIM(Y67)="", "", IF(VLOOKUP(Y67,'Footnotes list'!$D$9:$E$58,2,FALSE)=0,"",VLOOKUP(Y67,'Footnotes list'!$D$9:$E$58,2,FALSE) ) )</f>
        <v/>
      </c>
      <c r="AA67" s="126" t="str">
        <f>IF(AND(TRIM(AA65)="", TRIM(AA66)=""), "", SUM(AA65,AA66))</f>
        <v/>
      </c>
      <c r="AB67" s="379"/>
      <c r="AC67" s="380"/>
      <c r="AD67" s="381"/>
      <c r="AE67" s="377" t="str">
        <f>IF(TRIM(AD67)="", "", IF(VLOOKUP(AD67,'Footnotes list'!$D$9:$E$58,2,FALSE)=0,"",VLOOKUP(AD67,'Footnotes list'!$D$9:$E$58,2,FALSE) ) )</f>
        <v/>
      </c>
      <c r="AF67" s="126" t="str">
        <f>IF(AND(TRIM(AF65)="",TRIM(AF66)=""),"",AF65+AF66)</f>
        <v/>
      </c>
      <c r="AG67" s="379"/>
      <c r="AH67" s="380"/>
      <c r="AI67" s="381"/>
      <c r="AJ67" s="377" t="str">
        <f>IF(TRIM(AI67)="", "", IF(VLOOKUP(AI67,'Footnotes list'!$D$9:$E$58,2,FALSE)=0,"",VLOOKUP(AI67,'Footnotes list'!$D$9:$E$58,2,FALSE) ) )</f>
        <v/>
      </c>
      <c r="AK67" s="126" t="str">
        <f>IF(AND(TRIM(AK65)="",TRIM(AK66)=""),"",AK65+AK66)</f>
        <v/>
      </c>
      <c r="AL67" s="379"/>
      <c r="AM67" s="380"/>
      <c r="AN67" s="381"/>
      <c r="AO67" s="377" t="str">
        <f>IF(TRIM(AN67)="", "", IF(VLOOKUP(AN67,'Footnotes list'!$D$9:$E$58,2,FALSE)=0,"",VLOOKUP(AN67,'Footnotes list'!$D$9:$E$58,2,FALSE) ) )</f>
        <v/>
      </c>
      <c r="AP67" s="126" t="str">
        <f>IF(AND(TRIM(AP65)="", TRIM(AP66)=""), "", SUM(AP65,AP66))</f>
        <v/>
      </c>
      <c r="AQ67" s="379"/>
      <c r="AR67" s="380"/>
      <c r="AS67" s="381"/>
      <c r="AT67" s="377" t="str">
        <f>IF(TRIM(AS67)="", "", IF(VLOOKUP(AS67,'Footnotes list'!$D$9:$E$58,2,FALSE)=0,"",VLOOKUP(AS67,'Footnotes list'!$D$9:$E$58,2,FALSE) ) )</f>
        <v/>
      </c>
      <c r="AU67" s="126" t="str">
        <f>IF(AND(TRIM(AU65)="", TRIM(AU66)=""), "", SUM(AU65,AU66) )</f>
        <v/>
      </c>
      <c r="AV67" s="379"/>
      <c r="AW67" s="380"/>
      <c r="AX67" s="381"/>
      <c r="AY67" s="377" t="str">
        <f>IF(TRIM(AX67)="", "", IF(VLOOKUP(AX67,'Footnotes list'!$D$9:$E$58,2,FALSE)=0,"",VLOOKUP(AX67,'Footnotes list'!$D$9:$E$58,2,FALSE) ) )</f>
        <v/>
      </c>
    </row>
    <row r="68" spans="2:51" ht="15" customHeight="1" thickBot="1" x14ac:dyDescent="0.4">
      <c r="B68" s="534" t="s">
        <v>130</v>
      </c>
      <c r="C68" s="55"/>
      <c r="D68" s="528" t="s">
        <v>95</v>
      </c>
      <c r="E68" s="55"/>
      <c r="F68" s="45" t="s">
        <v>233</v>
      </c>
      <c r="G68" s="125"/>
      <c r="H68" s="137"/>
      <c r="I68" s="138"/>
      <c r="J68" s="139"/>
      <c r="K68" s="136"/>
      <c r="L68" s="125"/>
      <c r="M68" s="137"/>
      <c r="N68" s="138"/>
      <c r="O68" s="139"/>
      <c r="P68" s="136"/>
      <c r="Q68" s="125"/>
      <c r="R68" s="137"/>
      <c r="S68" s="138"/>
      <c r="T68" s="139"/>
      <c r="U68" s="136"/>
      <c r="V68" s="125"/>
      <c r="W68" s="137"/>
      <c r="X68" s="138"/>
      <c r="Y68" s="139"/>
      <c r="Z68" s="136"/>
      <c r="AA68" s="125"/>
      <c r="AB68" s="137"/>
      <c r="AC68" s="138"/>
      <c r="AD68" s="139"/>
      <c r="AE68" s="136"/>
      <c r="AF68" s="125"/>
      <c r="AG68" s="137"/>
      <c r="AH68" s="138"/>
      <c r="AI68" s="139"/>
      <c r="AJ68" s="136"/>
      <c r="AK68" s="125"/>
      <c r="AL68" s="137"/>
      <c r="AM68" s="138"/>
      <c r="AN68" s="139"/>
      <c r="AO68" s="136"/>
      <c r="AP68" s="125"/>
      <c r="AQ68" s="137"/>
      <c r="AR68" s="138"/>
      <c r="AS68" s="139"/>
      <c r="AT68" s="136"/>
      <c r="AU68" s="125"/>
      <c r="AV68" s="137"/>
      <c r="AW68" s="138"/>
      <c r="AX68" s="139"/>
      <c r="AY68" s="136"/>
    </row>
    <row r="69" spans="2:51" ht="15" customHeight="1" x14ac:dyDescent="0.35">
      <c r="B69" s="535"/>
      <c r="C69" s="50" t="s">
        <v>130</v>
      </c>
      <c r="D69" s="529"/>
      <c r="E69" s="51" t="s">
        <v>145</v>
      </c>
      <c r="F69" s="52" t="s">
        <v>152</v>
      </c>
      <c r="G69" s="378"/>
      <c r="H69" s="379"/>
      <c r="I69" s="380"/>
      <c r="J69" s="381"/>
      <c r="K69" s="377" t="str">
        <f>IF(TRIM(J69)="", "", IF(VLOOKUP(J69,'Footnotes list'!$D$9:$E$58,2,FALSE)=0,"",VLOOKUP(J69,'Footnotes list'!$D$9:$E$58,2,FALSE) ) )</f>
        <v/>
      </c>
      <c r="L69" s="378"/>
      <c r="M69" s="379"/>
      <c r="N69" s="380"/>
      <c r="O69" s="381"/>
      <c r="P69" s="377" t="str">
        <f>IF(TRIM(O69)="", "", IF(VLOOKUP(O69,'Footnotes list'!$D$9:$E$58,2,FALSE)=0,"",VLOOKUP(O69,'Footnotes list'!$D$9:$E$58,2,FALSE) ) )</f>
        <v/>
      </c>
      <c r="Q69" s="378"/>
      <c r="R69" s="379"/>
      <c r="S69" s="380"/>
      <c r="T69" s="381"/>
      <c r="U69" s="377" t="str">
        <f>IF(TRIM(T69)="", "", IF(VLOOKUP(T69,'Footnotes list'!$D$9:$E$58,2,FALSE)=0,"",VLOOKUP(T69,'Footnotes list'!$D$9:$E$58,2,FALSE) ) )</f>
        <v/>
      </c>
      <c r="V69" s="378"/>
      <c r="W69" s="379"/>
      <c r="X69" s="380"/>
      <c r="Y69" s="381"/>
      <c r="Z69" s="377" t="str">
        <f>IF(TRIM(Y69)="", "", IF(VLOOKUP(Y69,'Footnotes list'!$D$9:$E$58,2,FALSE)=0,"",VLOOKUP(Y69,'Footnotes list'!$D$9:$E$58,2,FALSE) ) )</f>
        <v/>
      </c>
      <c r="AA69" s="129" t="str">
        <f>IF(AND(TRIM(Q69)="",TRIM(V69)=""),"",Q69+V69)</f>
        <v/>
      </c>
      <c r="AB69" s="379"/>
      <c r="AC69" s="380"/>
      <c r="AD69" s="381"/>
      <c r="AE69" s="377" t="str">
        <f>IF(TRIM(AD69)="", "", IF(VLOOKUP(AD69,'Footnotes list'!$D$9:$E$58,2,FALSE)=0,"",VLOOKUP(AD69,'Footnotes list'!$D$9:$E$58,2,FALSE) ) )</f>
        <v/>
      </c>
      <c r="AF69" s="378"/>
      <c r="AG69" s="379"/>
      <c r="AH69" s="380"/>
      <c r="AI69" s="381"/>
      <c r="AJ69" s="377" t="str">
        <f>IF(TRIM(AI69)="", "", IF(VLOOKUP(AI69,'Footnotes list'!$D$9:$E$58,2,FALSE)=0,"",VLOOKUP(AI69,'Footnotes list'!$D$9:$E$58,2,FALSE) ) )</f>
        <v/>
      </c>
      <c r="AK69" s="378"/>
      <c r="AL69" s="379"/>
      <c r="AM69" s="380"/>
      <c r="AN69" s="381"/>
      <c r="AO69" s="377" t="str">
        <f>IF(TRIM(AN69)="", "", IF(VLOOKUP(AN69,'Footnotes list'!$D$9:$E$58,2,FALSE)=0,"",VLOOKUP(AN69,'Footnotes list'!$D$9:$E$58,2,FALSE) ) )</f>
        <v/>
      </c>
      <c r="AP69" s="129" t="str">
        <f>IF(AND(TRIM(AF69)="",TRIM(AK69)=""),"",AF69+AK69)</f>
        <v/>
      </c>
      <c r="AQ69" s="379"/>
      <c r="AR69" s="380"/>
      <c r="AS69" s="381"/>
      <c r="AT69" s="377" t="str">
        <f>IF(TRIM(AS69)="", "", IF(VLOOKUP(AS69,'Footnotes list'!$D$9:$E$58,2,FALSE)=0,"",VLOOKUP(AS69,'Footnotes list'!$D$9:$E$58,2,FALSE) ) )</f>
        <v/>
      </c>
      <c r="AU69" s="403" t="str">
        <f>IF(AND(TRIM(G69)="",TRIM(L69)="",TRIM(AA69)="",TRIM(AP69)=""),"",SUM(G69,L69,AA69,AP69))</f>
        <v/>
      </c>
      <c r="AV69" s="379"/>
      <c r="AW69" s="380"/>
      <c r="AX69" s="381"/>
      <c r="AY69" s="377" t="str">
        <f>IF(TRIM(AX69)="", "", IF(VLOOKUP(AX69,'Footnotes list'!$D$9:$E$58,2,FALSE)=0,"",VLOOKUP(AX69,'Footnotes list'!$D$9:$E$58,2,FALSE) ) )</f>
        <v/>
      </c>
    </row>
    <row r="70" spans="2:51" ht="15" customHeight="1" thickBot="1" x14ac:dyDescent="0.4">
      <c r="B70" s="536"/>
      <c r="C70" s="53" t="s">
        <v>130</v>
      </c>
      <c r="D70" s="530"/>
      <c r="E70" s="47" t="s">
        <v>146</v>
      </c>
      <c r="F70" s="54" t="s">
        <v>234</v>
      </c>
      <c r="G70" s="126" t="str">
        <f>IF(AND(TRIM(G68)="",TRIM(G69)=""),"",G68+G69)</f>
        <v/>
      </c>
      <c r="H70" s="379"/>
      <c r="I70" s="380"/>
      <c r="J70" s="381"/>
      <c r="K70" s="377" t="str">
        <f>IF(TRIM(J70)="", "", IF(VLOOKUP(J70,'Footnotes list'!$D$9:$E$58,2,FALSE)=0,"",VLOOKUP(J70,'Footnotes list'!$D$9:$E$58,2,FALSE) ) )</f>
        <v/>
      </c>
      <c r="L70" s="126" t="str">
        <f>IF(AND(TRIM(L68)="",TRIM(L69)=""),"",L68+L69)</f>
        <v/>
      </c>
      <c r="M70" s="379"/>
      <c r="N70" s="380"/>
      <c r="O70" s="381"/>
      <c r="P70" s="377" t="str">
        <f>IF(TRIM(O70)="", "", IF(VLOOKUP(O70,'Footnotes list'!$D$9:$E$58,2,FALSE)=0,"",VLOOKUP(O70,'Footnotes list'!$D$9:$E$58,2,FALSE) ) )</f>
        <v/>
      </c>
      <c r="Q70" s="126" t="str">
        <f>IF(AND(TRIM(Q68)="",TRIM(Q69)=""),"",Q68+Q69)</f>
        <v/>
      </c>
      <c r="R70" s="379"/>
      <c r="S70" s="380"/>
      <c r="T70" s="381"/>
      <c r="U70" s="377" t="str">
        <f>IF(TRIM(T70)="", "", IF(VLOOKUP(T70,'Footnotes list'!$D$9:$E$58,2,FALSE)=0,"",VLOOKUP(T70,'Footnotes list'!$D$9:$E$58,2,FALSE) ) )</f>
        <v/>
      </c>
      <c r="V70" s="126" t="str">
        <f>IF(AND(TRIM(V68)="",TRIM(V69)=""),"",V68+V69)</f>
        <v/>
      </c>
      <c r="W70" s="379"/>
      <c r="X70" s="380"/>
      <c r="Y70" s="381"/>
      <c r="Z70" s="377" t="str">
        <f>IF(TRIM(Y70)="", "", IF(VLOOKUP(Y70,'Footnotes list'!$D$9:$E$58,2,FALSE)=0,"",VLOOKUP(Y70,'Footnotes list'!$D$9:$E$58,2,FALSE) ) )</f>
        <v/>
      </c>
      <c r="AA70" s="126" t="str">
        <f>IF(AND(TRIM(AA68)="", TRIM(AA69)=""), "", SUM(AA68,AA69))</f>
        <v/>
      </c>
      <c r="AB70" s="379"/>
      <c r="AC70" s="380"/>
      <c r="AD70" s="381"/>
      <c r="AE70" s="377" t="str">
        <f>IF(TRIM(AD70)="", "", IF(VLOOKUP(AD70,'Footnotes list'!$D$9:$E$58,2,FALSE)=0,"",VLOOKUP(AD70,'Footnotes list'!$D$9:$E$58,2,FALSE) ) )</f>
        <v/>
      </c>
      <c r="AF70" s="126" t="str">
        <f>IF(AND(TRIM(AF68)="",TRIM(AF69)=""),"",AF68+AF69)</f>
        <v/>
      </c>
      <c r="AG70" s="379"/>
      <c r="AH70" s="380"/>
      <c r="AI70" s="381"/>
      <c r="AJ70" s="377" t="str">
        <f>IF(TRIM(AI70)="", "", IF(VLOOKUP(AI70,'Footnotes list'!$D$9:$E$58,2,FALSE)=0,"",VLOOKUP(AI70,'Footnotes list'!$D$9:$E$58,2,FALSE) ) )</f>
        <v/>
      </c>
      <c r="AK70" s="126" t="str">
        <f>IF(AND(TRIM(AK68)="",TRIM(AK69)=""),"",AK68+AK69)</f>
        <v/>
      </c>
      <c r="AL70" s="379"/>
      <c r="AM70" s="380"/>
      <c r="AN70" s="381"/>
      <c r="AO70" s="377" t="str">
        <f>IF(TRIM(AN70)="", "", IF(VLOOKUP(AN70,'Footnotes list'!$D$9:$E$58,2,FALSE)=0,"",VLOOKUP(AN70,'Footnotes list'!$D$9:$E$58,2,FALSE) ) )</f>
        <v/>
      </c>
      <c r="AP70" s="126" t="str">
        <f>IF(AND(TRIM(AP68)="", TRIM(AP69)=""), "", SUM(AP68,AP69))</f>
        <v/>
      </c>
      <c r="AQ70" s="379"/>
      <c r="AR70" s="380"/>
      <c r="AS70" s="381"/>
      <c r="AT70" s="377" t="str">
        <f>IF(TRIM(AS70)="", "", IF(VLOOKUP(AS70,'Footnotes list'!$D$9:$E$58,2,FALSE)=0,"",VLOOKUP(AS70,'Footnotes list'!$D$9:$E$58,2,FALSE) ) )</f>
        <v/>
      </c>
      <c r="AU70" s="126" t="str">
        <f>IF(AND(TRIM(AU68)="", TRIM(AU69)=""), "", SUM(AU68,AU69) )</f>
        <v/>
      </c>
      <c r="AV70" s="379"/>
      <c r="AW70" s="380"/>
      <c r="AX70" s="381"/>
      <c r="AY70" s="377" t="str">
        <f>IF(TRIM(AX70)="", "", IF(VLOOKUP(AX70,'Footnotes list'!$D$9:$E$58,2,FALSE)=0,"",VLOOKUP(AX70,'Footnotes list'!$D$9:$E$58,2,FALSE) ) )</f>
        <v/>
      </c>
    </row>
    <row r="71" spans="2:51" ht="15" customHeight="1" thickBot="1" x14ac:dyDescent="0.4">
      <c r="B71" s="534" t="s">
        <v>131</v>
      </c>
      <c r="C71" s="55"/>
      <c r="D71" s="528" t="s">
        <v>96</v>
      </c>
      <c r="E71" s="55"/>
      <c r="F71" s="45" t="s">
        <v>233</v>
      </c>
      <c r="G71" s="125"/>
      <c r="H71" s="137"/>
      <c r="I71" s="138"/>
      <c r="J71" s="139"/>
      <c r="K71" s="136"/>
      <c r="L71" s="125"/>
      <c r="M71" s="137"/>
      <c r="N71" s="138"/>
      <c r="O71" s="139"/>
      <c r="P71" s="136"/>
      <c r="Q71" s="125"/>
      <c r="R71" s="137"/>
      <c r="S71" s="138"/>
      <c r="T71" s="139"/>
      <c r="U71" s="136"/>
      <c r="V71" s="125"/>
      <c r="W71" s="137"/>
      <c r="X71" s="138"/>
      <c r="Y71" s="139"/>
      <c r="Z71" s="136"/>
      <c r="AA71" s="125"/>
      <c r="AB71" s="137"/>
      <c r="AC71" s="138"/>
      <c r="AD71" s="139"/>
      <c r="AE71" s="136"/>
      <c r="AF71" s="125"/>
      <c r="AG71" s="137"/>
      <c r="AH71" s="138"/>
      <c r="AI71" s="139"/>
      <c r="AJ71" s="136"/>
      <c r="AK71" s="125"/>
      <c r="AL71" s="137"/>
      <c r="AM71" s="138"/>
      <c r="AN71" s="139"/>
      <c r="AO71" s="136"/>
      <c r="AP71" s="125"/>
      <c r="AQ71" s="137"/>
      <c r="AR71" s="138"/>
      <c r="AS71" s="139"/>
      <c r="AT71" s="136"/>
      <c r="AU71" s="125"/>
      <c r="AV71" s="137"/>
      <c r="AW71" s="138"/>
      <c r="AX71" s="139"/>
      <c r="AY71" s="136"/>
    </row>
    <row r="72" spans="2:51" ht="15" customHeight="1" x14ac:dyDescent="0.35">
      <c r="B72" s="535"/>
      <c r="C72" s="50" t="s">
        <v>131</v>
      </c>
      <c r="D72" s="529"/>
      <c r="E72" s="51" t="s">
        <v>145</v>
      </c>
      <c r="F72" s="52" t="s">
        <v>152</v>
      </c>
      <c r="G72" s="378"/>
      <c r="H72" s="379"/>
      <c r="I72" s="380"/>
      <c r="J72" s="381"/>
      <c r="K72" s="377" t="str">
        <f>IF(TRIM(J72)="", "", IF(VLOOKUP(J72,'Footnotes list'!$D$9:$E$58,2,FALSE)=0,"",VLOOKUP(J72,'Footnotes list'!$D$9:$E$58,2,FALSE) ) )</f>
        <v/>
      </c>
      <c r="L72" s="378"/>
      <c r="M72" s="379"/>
      <c r="N72" s="380"/>
      <c r="O72" s="381"/>
      <c r="P72" s="377" t="str">
        <f>IF(TRIM(O72)="", "", IF(VLOOKUP(O72,'Footnotes list'!$D$9:$E$58,2,FALSE)=0,"",VLOOKUP(O72,'Footnotes list'!$D$9:$E$58,2,FALSE) ) )</f>
        <v/>
      </c>
      <c r="Q72" s="378"/>
      <c r="R72" s="379"/>
      <c r="S72" s="380"/>
      <c r="T72" s="381"/>
      <c r="U72" s="377" t="str">
        <f>IF(TRIM(T72)="", "", IF(VLOOKUP(T72,'Footnotes list'!$D$9:$E$58,2,FALSE)=0,"",VLOOKUP(T72,'Footnotes list'!$D$9:$E$58,2,FALSE) ) )</f>
        <v/>
      </c>
      <c r="V72" s="378"/>
      <c r="W72" s="379"/>
      <c r="X72" s="380"/>
      <c r="Y72" s="381"/>
      <c r="Z72" s="377" t="str">
        <f>IF(TRIM(Y72)="", "", IF(VLOOKUP(Y72,'Footnotes list'!$D$9:$E$58,2,FALSE)=0,"",VLOOKUP(Y72,'Footnotes list'!$D$9:$E$58,2,FALSE) ) )</f>
        <v/>
      </c>
      <c r="AA72" s="129" t="str">
        <f>IF(AND(TRIM(Q72)="",TRIM(V72)=""),"",Q72+V72)</f>
        <v/>
      </c>
      <c r="AB72" s="379"/>
      <c r="AC72" s="380"/>
      <c r="AD72" s="381"/>
      <c r="AE72" s="377" t="str">
        <f>IF(TRIM(AD72)="", "", IF(VLOOKUP(AD72,'Footnotes list'!$D$9:$E$58,2,FALSE)=0,"",VLOOKUP(AD72,'Footnotes list'!$D$9:$E$58,2,FALSE) ) )</f>
        <v/>
      </c>
      <c r="AF72" s="378"/>
      <c r="AG72" s="379"/>
      <c r="AH72" s="380"/>
      <c r="AI72" s="381"/>
      <c r="AJ72" s="377" t="str">
        <f>IF(TRIM(AI72)="", "", IF(VLOOKUP(AI72,'Footnotes list'!$D$9:$E$58,2,FALSE)=0,"",VLOOKUP(AI72,'Footnotes list'!$D$9:$E$58,2,FALSE) ) )</f>
        <v/>
      </c>
      <c r="AK72" s="378"/>
      <c r="AL72" s="379"/>
      <c r="AM72" s="380"/>
      <c r="AN72" s="381"/>
      <c r="AO72" s="377" t="str">
        <f>IF(TRIM(AN72)="", "", IF(VLOOKUP(AN72,'Footnotes list'!$D$9:$E$58,2,FALSE)=0,"",VLOOKUP(AN72,'Footnotes list'!$D$9:$E$58,2,FALSE) ) )</f>
        <v/>
      </c>
      <c r="AP72" s="129" t="str">
        <f>IF(AND(TRIM(AF72)="",TRIM(AK72)=""),"",AF72+AK72)</f>
        <v/>
      </c>
      <c r="AQ72" s="379"/>
      <c r="AR72" s="380"/>
      <c r="AS72" s="381"/>
      <c r="AT72" s="377" t="str">
        <f>IF(TRIM(AS72)="", "", IF(VLOOKUP(AS72,'Footnotes list'!$D$9:$E$58,2,FALSE)=0,"",VLOOKUP(AS72,'Footnotes list'!$D$9:$E$58,2,FALSE) ) )</f>
        <v/>
      </c>
      <c r="AU72" s="403" t="str">
        <f>IF(AND(TRIM(G72)="",TRIM(L72)="",TRIM(AA72)="",TRIM(AP72)=""),"",SUM(G72,L72,AA72,AP72))</f>
        <v/>
      </c>
      <c r="AV72" s="379"/>
      <c r="AW72" s="380"/>
      <c r="AX72" s="381"/>
      <c r="AY72" s="377" t="str">
        <f>IF(TRIM(AX72)="", "", IF(VLOOKUP(AX72,'Footnotes list'!$D$9:$E$58,2,FALSE)=0,"",VLOOKUP(AX72,'Footnotes list'!$D$9:$E$58,2,FALSE) ) )</f>
        <v/>
      </c>
    </row>
    <row r="73" spans="2:51" ht="15" customHeight="1" thickBot="1" x14ac:dyDescent="0.4">
      <c r="B73" s="536"/>
      <c r="C73" s="53" t="s">
        <v>131</v>
      </c>
      <c r="D73" s="530"/>
      <c r="E73" s="47" t="s">
        <v>146</v>
      </c>
      <c r="F73" s="54" t="s">
        <v>234</v>
      </c>
      <c r="G73" s="126" t="str">
        <f>IF(AND(TRIM(G71)="",TRIM(G72)=""),"",G71+G72)</f>
        <v/>
      </c>
      <c r="H73" s="379"/>
      <c r="I73" s="380"/>
      <c r="J73" s="381"/>
      <c r="K73" s="377" t="str">
        <f>IF(TRIM(J73)="", "", IF(VLOOKUP(J73,'Footnotes list'!$D$9:$E$58,2,FALSE)=0,"",VLOOKUP(J73,'Footnotes list'!$D$9:$E$58,2,FALSE) ) )</f>
        <v/>
      </c>
      <c r="L73" s="126" t="str">
        <f>IF(AND(TRIM(L71)="",TRIM(L72)=""),"",L71+L72)</f>
        <v/>
      </c>
      <c r="M73" s="379"/>
      <c r="N73" s="380"/>
      <c r="O73" s="381"/>
      <c r="P73" s="377" t="str">
        <f>IF(TRIM(O73)="", "", IF(VLOOKUP(O73,'Footnotes list'!$D$9:$E$58,2,FALSE)=0,"",VLOOKUP(O73,'Footnotes list'!$D$9:$E$58,2,FALSE) ) )</f>
        <v/>
      </c>
      <c r="Q73" s="126" t="str">
        <f>IF(AND(TRIM(Q71)="",TRIM(Q72)=""),"",Q71+Q72)</f>
        <v/>
      </c>
      <c r="R73" s="379"/>
      <c r="S73" s="380"/>
      <c r="T73" s="381"/>
      <c r="U73" s="377" t="str">
        <f>IF(TRIM(T73)="", "", IF(VLOOKUP(T73,'Footnotes list'!$D$9:$E$58,2,FALSE)=0,"",VLOOKUP(T73,'Footnotes list'!$D$9:$E$58,2,FALSE) ) )</f>
        <v/>
      </c>
      <c r="V73" s="126" t="str">
        <f>IF(AND(TRIM(V71)="",TRIM(V72)=""),"",V71+V72)</f>
        <v/>
      </c>
      <c r="W73" s="379"/>
      <c r="X73" s="380"/>
      <c r="Y73" s="381"/>
      <c r="Z73" s="377" t="str">
        <f>IF(TRIM(Y73)="", "", IF(VLOOKUP(Y73,'Footnotes list'!$D$9:$E$58,2,FALSE)=0,"",VLOOKUP(Y73,'Footnotes list'!$D$9:$E$58,2,FALSE) ) )</f>
        <v/>
      </c>
      <c r="AA73" s="126" t="str">
        <f>IF(AND(TRIM(AA71)="", TRIM(AA72)=""), "", SUM(AA71,AA72))</f>
        <v/>
      </c>
      <c r="AB73" s="379"/>
      <c r="AC73" s="380"/>
      <c r="AD73" s="381"/>
      <c r="AE73" s="377" t="str">
        <f>IF(TRIM(AD73)="", "", IF(VLOOKUP(AD73,'Footnotes list'!$D$9:$E$58,2,FALSE)=0,"",VLOOKUP(AD73,'Footnotes list'!$D$9:$E$58,2,FALSE) ) )</f>
        <v/>
      </c>
      <c r="AF73" s="126" t="str">
        <f>IF(AND(TRIM(AF71)="",TRIM(AF72)=""),"",AF71+AF72)</f>
        <v/>
      </c>
      <c r="AG73" s="379"/>
      <c r="AH73" s="380"/>
      <c r="AI73" s="381"/>
      <c r="AJ73" s="377" t="str">
        <f>IF(TRIM(AI73)="", "", IF(VLOOKUP(AI73,'Footnotes list'!$D$9:$E$58,2,FALSE)=0,"",VLOOKUP(AI73,'Footnotes list'!$D$9:$E$58,2,FALSE) ) )</f>
        <v/>
      </c>
      <c r="AK73" s="126" t="str">
        <f>IF(AND(TRIM(AK71)="",TRIM(AK72)=""),"",AK71+AK72)</f>
        <v/>
      </c>
      <c r="AL73" s="379"/>
      <c r="AM73" s="380"/>
      <c r="AN73" s="381"/>
      <c r="AO73" s="377" t="str">
        <f>IF(TRIM(AN73)="", "", IF(VLOOKUP(AN73,'Footnotes list'!$D$9:$E$58,2,FALSE)=0,"",VLOOKUP(AN73,'Footnotes list'!$D$9:$E$58,2,FALSE) ) )</f>
        <v/>
      </c>
      <c r="AP73" s="126" t="str">
        <f>IF(AND(TRIM(AP71)="", TRIM(AP72)=""), "", SUM(AP71,AP72))</f>
        <v/>
      </c>
      <c r="AQ73" s="379"/>
      <c r="AR73" s="380"/>
      <c r="AS73" s="381"/>
      <c r="AT73" s="377" t="str">
        <f>IF(TRIM(AS73)="", "", IF(VLOOKUP(AS73,'Footnotes list'!$D$9:$E$58,2,FALSE)=0,"",VLOOKUP(AS73,'Footnotes list'!$D$9:$E$58,2,FALSE) ) )</f>
        <v/>
      </c>
      <c r="AU73" s="126" t="str">
        <f>IF(AND(TRIM(AU71)="", TRIM(AU72)=""), "", SUM(AU71,AU72) )</f>
        <v/>
      </c>
      <c r="AV73" s="379"/>
      <c r="AW73" s="380"/>
      <c r="AX73" s="381"/>
      <c r="AY73" s="377" t="str">
        <f>IF(TRIM(AX73)="", "", IF(VLOOKUP(AX73,'Footnotes list'!$D$9:$E$58,2,FALSE)=0,"",VLOOKUP(AX73,'Footnotes list'!$D$9:$E$58,2,FALSE) ) )</f>
        <v/>
      </c>
    </row>
    <row r="74" spans="2:51" ht="15" customHeight="1" thickBot="1" x14ac:dyDescent="0.4">
      <c r="B74" s="534" t="s">
        <v>132</v>
      </c>
      <c r="C74" s="55"/>
      <c r="D74" s="528" t="s">
        <v>97</v>
      </c>
      <c r="E74" s="55"/>
      <c r="F74" s="45" t="s">
        <v>233</v>
      </c>
      <c r="G74" s="125"/>
      <c r="H74" s="137"/>
      <c r="I74" s="138"/>
      <c r="J74" s="139"/>
      <c r="K74" s="136"/>
      <c r="L74" s="125"/>
      <c r="M74" s="137"/>
      <c r="N74" s="138"/>
      <c r="O74" s="139"/>
      <c r="P74" s="136"/>
      <c r="Q74" s="125"/>
      <c r="R74" s="137"/>
      <c r="S74" s="138"/>
      <c r="T74" s="139"/>
      <c r="U74" s="136"/>
      <c r="V74" s="125"/>
      <c r="W74" s="137"/>
      <c r="X74" s="138"/>
      <c r="Y74" s="139"/>
      <c r="Z74" s="136"/>
      <c r="AA74" s="125"/>
      <c r="AB74" s="137"/>
      <c r="AC74" s="138"/>
      <c r="AD74" s="139"/>
      <c r="AE74" s="136"/>
      <c r="AF74" s="125"/>
      <c r="AG74" s="137"/>
      <c r="AH74" s="138"/>
      <c r="AI74" s="139"/>
      <c r="AJ74" s="136"/>
      <c r="AK74" s="125"/>
      <c r="AL74" s="137"/>
      <c r="AM74" s="138"/>
      <c r="AN74" s="139"/>
      <c r="AO74" s="136"/>
      <c r="AP74" s="125"/>
      <c r="AQ74" s="137"/>
      <c r="AR74" s="138"/>
      <c r="AS74" s="139"/>
      <c r="AT74" s="136"/>
      <c r="AU74" s="125"/>
      <c r="AV74" s="137"/>
      <c r="AW74" s="138"/>
      <c r="AX74" s="139"/>
      <c r="AY74" s="136"/>
    </row>
    <row r="75" spans="2:51" ht="15" customHeight="1" x14ac:dyDescent="0.35">
      <c r="B75" s="535"/>
      <c r="C75" s="50" t="s">
        <v>132</v>
      </c>
      <c r="D75" s="529"/>
      <c r="E75" s="51" t="s">
        <v>145</v>
      </c>
      <c r="F75" s="52" t="s">
        <v>152</v>
      </c>
      <c r="G75" s="378"/>
      <c r="H75" s="379"/>
      <c r="I75" s="380"/>
      <c r="J75" s="381"/>
      <c r="K75" s="377" t="str">
        <f>IF(TRIM(J75)="", "", IF(VLOOKUP(J75,'Footnotes list'!$D$9:$E$58,2,FALSE)=0,"",VLOOKUP(J75,'Footnotes list'!$D$9:$E$58,2,FALSE) ) )</f>
        <v/>
      </c>
      <c r="L75" s="378"/>
      <c r="M75" s="379"/>
      <c r="N75" s="380"/>
      <c r="O75" s="381"/>
      <c r="P75" s="377" t="str">
        <f>IF(TRIM(O75)="", "", IF(VLOOKUP(O75,'Footnotes list'!$D$9:$E$58,2,FALSE)=0,"",VLOOKUP(O75,'Footnotes list'!$D$9:$E$58,2,FALSE) ) )</f>
        <v/>
      </c>
      <c r="Q75" s="378"/>
      <c r="R75" s="379"/>
      <c r="S75" s="380"/>
      <c r="T75" s="381"/>
      <c r="U75" s="377" t="str">
        <f>IF(TRIM(T75)="", "", IF(VLOOKUP(T75,'Footnotes list'!$D$9:$E$58,2,FALSE)=0,"",VLOOKUP(T75,'Footnotes list'!$D$9:$E$58,2,FALSE) ) )</f>
        <v/>
      </c>
      <c r="V75" s="378"/>
      <c r="W75" s="379"/>
      <c r="X75" s="380"/>
      <c r="Y75" s="381"/>
      <c r="Z75" s="377" t="str">
        <f>IF(TRIM(Y75)="", "", IF(VLOOKUP(Y75,'Footnotes list'!$D$9:$E$58,2,FALSE)=0,"",VLOOKUP(Y75,'Footnotes list'!$D$9:$E$58,2,FALSE) ) )</f>
        <v/>
      </c>
      <c r="AA75" s="129" t="str">
        <f>IF(AND(TRIM(Q75)="",TRIM(V75)=""),"",Q75+V75)</f>
        <v/>
      </c>
      <c r="AB75" s="379"/>
      <c r="AC75" s="380"/>
      <c r="AD75" s="381"/>
      <c r="AE75" s="377" t="str">
        <f>IF(TRIM(AD75)="", "", IF(VLOOKUP(AD75,'Footnotes list'!$D$9:$E$58,2,FALSE)=0,"",VLOOKUP(AD75,'Footnotes list'!$D$9:$E$58,2,FALSE) ) )</f>
        <v/>
      </c>
      <c r="AF75" s="378"/>
      <c r="AG75" s="379"/>
      <c r="AH75" s="380"/>
      <c r="AI75" s="381"/>
      <c r="AJ75" s="377" t="str">
        <f>IF(TRIM(AI75)="", "", IF(VLOOKUP(AI75,'Footnotes list'!$D$9:$E$58,2,FALSE)=0,"",VLOOKUP(AI75,'Footnotes list'!$D$9:$E$58,2,FALSE) ) )</f>
        <v/>
      </c>
      <c r="AK75" s="378"/>
      <c r="AL75" s="379"/>
      <c r="AM75" s="380"/>
      <c r="AN75" s="381"/>
      <c r="AO75" s="377" t="str">
        <f>IF(TRIM(AN75)="", "", IF(VLOOKUP(AN75,'Footnotes list'!$D$9:$E$58,2,FALSE)=0,"",VLOOKUP(AN75,'Footnotes list'!$D$9:$E$58,2,FALSE) ) )</f>
        <v/>
      </c>
      <c r="AP75" s="129" t="str">
        <f>IF(AND(TRIM(AF75)="",TRIM(AK75)=""),"",AF75+AK75)</f>
        <v/>
      </c>
      <c r="AQ75" s="379"/>
      <c r="AR75" s="380"/>
      <c r="AS75" s="381"/>
      <c r="AT75" s="377" t="str">
        <f>IF(TRIM(AS75)="", "", IF(VLOOKUP(AS75,'Footnotes list'!$D$9:$E$58,2,FALSE)=0,"",VLOOKUP(AS75,'Footnotes list'!$D$9:$E$58,2,FALSE) ) )</f>
        <v/>
      </c>
      <c r="AU75" s="403" t="str">
        <f>IF(AND(TRIM(G75)="",TRIM(L75)="",TRIM(AA75)="",TRIM(AP75)=""),"",SUM(G75,L75,AA75,AP75))</f>
        <v/>
      </c>
      <c r="AV75" s="379"/>
      <c r="AW75" s="380"/>
      <c r="AX75" s="381"/>
      <c r="AY75" s="377" t="str">
        <f>IF(TRIM(AX75)="", "", IF(VLOOKUP(AX75,'Footnotes list'!$D$9:$E$58,2,FALSE)=0,"",VLOOKUP(AX75,'Footnotes list'!$D$9:$E$58,2,FALSE) ) )</f>
        <v/>
      </c>
    </row>
    <row r="76" spans="2:51" ht="15" customHeight="1" thickBot="1" x14ac:dyDescent="0.4">
      <c r="B76" s="536"/>
      <c r="C76" s="53" t="s">
        <v>132</v>
      </c>
      <c r="D76" s="530"/>
      <c r="E76" s="47" t="s">
        <v>146</v>
      </c>
      <c r="F76" s="54" t="s">
        <v>234</v>
      </c>
      <c r="G76" s="126" t="str">
        <f>IF(AND(TRIM(G74)="",TRIM(G75)=""),"",G74+G75)</f>
        <v/>
      </c>
      <c r="H76" s="379"/>
      <c r="I76" s="380"/>
      <c r="J76" s="381"/>
      <c r="K76" s="377" t="str">
        <f>IF(TRIM(J76)="", "", IF(VLOOKUP(J76,'Footnotes list'!$D$9:$E$58,2,FALSE)=0,"",VLOOKUP(J76,'Footnotes list'!$D$9:$E$58,2,FALSE) ) )</f>
        <v/>
      </c>
      <c r="L76" s="126" t="str">
        <f>IF(AND(TRIM(L74)="",TRIM(L75)=""),"",L74+L75)</f>
        <v/>
      </c>
      <c r="M76" s="379"/>
      <c r="N76" s="380"/>
      <c r="O76" s="381"/>
      <c r="P76" s="377" t="str">
        <f>IF(TRIM(O76)="", "", IF(VLOOKUP(O76,'Footnotes list'!$D$9:$E$58,2,FALSE)=0,"",VLOOKUP(O76,'Footnotes list'!$D$9:$E$58,2,FALSE) ) )</f>
        <v/>
      </c>
      <c r="Q76" s="126" t="str">
        <f>IF(AND(TRIM(Q74)="",TRIM(Q75)=""),"",Q74+Q75)</f>
        <v/>
      </c>
      <c r="R76" s="379"/>
      <c r="S76" s="380"/>
      <c r="T76" s="381"/>
      <c r="U76" s="377" t="str">
        <f>IF(TRIM(T76)="", "", IF(VLOOKUP(T76,'Footnotes list'!$D$9:$E$58,2,FALSE)=0,"",VLOOKUP(T76,'Footnotes list'!$D$9:$E$58,2,FALSE) ) )</f>
        <v/>
      </c>
      <c r="V76" s="126" t="str">
        <f>IF(AND(TRIM(V74)="",TRIM(V75)=""),"",V74+V75)</f>
        <v/>
      </c>
      <c r="W76" s="379"/>
      <c r="X76" s="380"/>
      <c r="Y76" s="381"/>
      <c r="Z76" s="377" t="str">
        <f>IF(TRIM(Y76)="", "", IF(VLOOKUP(Y76,'Footnotes list'!$D$9:$E$58,2,FALSE)=0,"",VLOOKUP(Y76,'Footnotes list'!$D$9:$E$58,2,FALSE) ) )</f>
        <v/>
      </c>
      <c r="AA76" s="126" t="str">
        <f>IF(AND(TRIM(AA74)="", TRIM(AA75)=""), "", SUM(AA74,AA75))</f>
        <v/>
      </c>
      <c r="AB76" s="379"/>
      <c r="AC76" s="380"/>
      <c r="AD76" s="381"/>
      <c r="AE76" s="377" t="str">
        <f>IF(TRIM(AD76)="", "", IF(VLOOKUP(AD76,'Footnotes list'!$D$9:$E$58,2,FALSE)=0,"",VLOOKUP(AD76,'Footnotes list'!$D$9:$E$58,2,FALSE) ) )</f>
        <v/>
      </c>
      <c r="AF76" s="126" t="str">
        <f>IF(AND(TRIM(AF74)="",TRIM(AF75)=""),"",AF74+AF75)</f>
        <v/>
      </c>
      <c r="AG76" s="379"/>
      <c r="AH76" s="380"/>
      <c r="AI76" s="381"/>
      <c r="AJ76" s="377" t="str">
        <f>IF(TRIM(AI76)="", "", IF(VLOOKUP(AI76,'Footnotes list'!$D$9:$E$58,2,FALSE)=0,"",VLOOKUP(AI76,'Footnotes list'!$D$9:$E$58,2,FALSE) ) )</f>
        <v/>
      </c>
      <c r="AK76" s="126" t="str">
        <f>IF(AND(TRIM(AK74)="",TRIM(AK75)=""),"",AK74+AK75)</f>
        <v/>
      </c>
      <c r="AL76" s="379"/>
      <c r="AM76" s="380"/>
      <c r="AN76" s="381"/>
      <c r="AO76" s="377" t="str">
        <f>IF(TRIM(AN76)="", "", IF(VLOOKUP(AN76,'Footnotes list'!$D$9:$E$58,2,FALSE)=0,"",VLOOKUP(AN76,'Footnotes list'!$D$9:$E$58,2,FALSE) ) )</f>
        <v/>
      </c>
      <c r="AP76" s="126" t="str">
        <f>IF(AND(TRIM(AP74)="", TRIM(AP75)=""), "", SUM(AP74,AP75))</f>
        <v/>
      </c>
      <c r="AQ76" s="379"/>
      <c r="AR76" s="380"/>
      <c r="AS76" s="381"/>
      <c r="AT76" s="377" t="str">
        <f>IF(TRIM(AS76)="", "", IF(VLOOKUP(AS76,'Footnotes list'!$D$9:$E$58,2,FALSE)=0,"",VLOOKUP(AS76,'Footnotes list'!$D$9:$E$58,2,FALSE) ) )</f>
        <v/>
      </c>
      <c r="AU76" s="126" t="str">
        <f>IF(AND(TRIM(AU74)="", TRIM(AU75)=""), "", SUM(AU74,AU75) )</f>
        <v/>
      </c>
      <c r="AV76" s="379"/>
      <c r="AW76" s="380"/>
      <c r="AX76" s="381"/>
      <c r="AY76" s="377" t="str">
        <f>IF(TRIM(AX76)="", "", IF(VLOOKUP(AX76,'Footnotes list'!$D$9:$E$58,2,FALSE)=0,"",VLOOKUP(AX76,'Footnotes list'!$D$9:$E$58,2,FALSE) ) )</f>
        <v/>
      </c>
    </row>
    <row r="77" spans="2:51" ht="15" customHeight="1" thickBot="1" x14ac:dyDescent="0.4">
      <c r="B77" s="534" t="s">
        <v>133</v>
      </c>
      <c r="C77" s="55"/>
      <c r="D77" s="528" t="s">
        <v>98</v>
      </c>
      <c r="E77" s="55"/>
      <c r="F77" s="45" t="s">
        <v>233</v>
      </c>
      <c r="G77" s="125"/>
      <c r="H77" s="137"/>
      <c r="I77" s="138"/>
      <c r="J77" s="139"/>
      <c r="K77" s="136"/>
      <c r="L77" s="125"/>
      <c r="M77" s="137"/>
      <c r="N77" s="138"/>
      <c r="O77" s="139"/>
      <c r="P77" s="136"/>
      <c r="Q77" s="125"/>
      <c r="R77" s="137"/>
      <c r="S77" s="138"/>
      <c r="T77" s="139"/>
      <c r="U77" s="136"/>
      <c r="V77" s="125"/>
      <c r="W77" s="137"/>
      <c r="X77" s="138"/>
      <c r="Y77" s="139"/>
      <c r="Z77" s="136"/>
      <c r="AA77" s="125"/>
      <c r="AB77" s="137"/>
      <c r="AC77" s="138"/>
      <c r="AD77" s="139"/>
      <c r="AE77" s="136"/>
      <c r="AF77" s="125"/>
      <c r="AG77" s="137"/>
      <c r="AH77" s="138"/>
      <c r="AI77" s="139"/>
      <c r="AJ77" s="136"/>
      <c r="AK77" s="125"/>
      <c r="AL77" s="137"/>
      <c r="AM77" s="138"/>
      <c r="AN77" s="139"/>
      <c r="AO77" s="136"/>
      <c r="AP77" s="125"/>
      <c r="AQ77" s="137"/>
      <c r="AR77" s="138"/>
      <c r="AS77" s="139"/>
      <c r="AT77" s="136"/>
      <c r="AU77" s="125"/>
      <c r="AV77" s="137"/>
      <c r="AW77" s="138"/>
      <c r="AX77" s="139"/>
      <c r="AY77" s="136"/>
    </row>
    <row r="78" spans="2:51" ht="15" customHeight="1" x14ac:dyDescent="0.35">
      <c r="B78" s="535"/>
      <c r="C78" s="50" t="s">
        <v>133</v>
      </c>
      <c r="D78" s="529"/>
      <c r="E78" s="51" t="s">
        <v>145</v>
      </c>
      <c r="F78" s="52" t="s">
        <v>152</v>
      </c>
      <c r="G78" s="378"/>
      <c r="H78" s="379"/>
      <c r="I78" s="380"/>
      <c r="J78" s="381"/>
      <c r="K78" s="377" t="str">
        <f>IF(TRIM(J78)="", "", IF(VLOOKUP(J78,'Footnotes list'!$D$9:$E$58,2,FALSE)=0,"",VLOOKUP(J78,'Footnotes list'!$D$9:$E$58,2,FALSE) ) )</f>
        <v/>
      </c>
      <c r="L78" s="378"/>
      <c r="M78" s="379"/>
      <c r="N78" s="380"/>
      <c r="O78" s="381"/>
      <c r="P78" s="377" t="str">
        <f>IF(TRIM(O78)="", "", IF(VLOOKUP(O78,'Footnotes list'!$D$9:$E$58,2,FALSE)=0,"",VLOOKUP(O78,'Footnotes list'!$D$9:$E$58,2,FALSE) ) )</f>
        <v/>
      </c>
      <c r="Q78" s="378"/>
      <c r="R78" s="379"/>
      <c r="S78" s="380"/>
      <c r="T78" s="381"/>
      <c r="U78" s="377" t="str">
        <f>IF(TRIM(T78)="", "", IF(VLOOKUP(T78,'Footnotes list'!$D$9:$E$58,2,FALSE)=0,"",VLOOKUP(T78,'Footnotes list'!$D$9:$E$58,2,FALSE) ) )</f>
        <v/>
      </c>
      <c r="V78" s="378"/>
      <c r="W78" s="379"/>
      <c r="X78" s="380"/>
      <c r="Y78" s="381"/>
      <c r="Z78" s="377" t="str">
        <f>IF(TRIM(Y78)="", "", IF(VLOOKUP(Y78,'Footnotes list'!$D$9:$E$58,2,FALSE)=0,"",VLOOKUP(Y78,'Footnotes list'!$D$9:$E$58,2,FALSE) ) )</f>
        <v/>
      </c>
      <c r="AA78" s="129" t="str">
        <f>IF(AND(TRIM(Q78)="",TRIM(V78)=""),"",Q78+V78)</f>
        <v/>
      </c>
      <c r="AB78" s="379"/>
      <c r="AC78" s="380"/>
      <c r="AD78" s="381"/>
      <c r="AE78" s="377" t="str">
        <f>IF(TRIM(AD78)="", "", IF(VLOOKUP(AD78,'Footnotes list'!$D$9:$E$58,2,FALSE)=0,"",VLOOKUP(AD78,'Footnotes list'!$D$9:$E$58,2,FALSE) ) )</f>
        <v/>
      </c>
      <c r="AF78" s="378"/>
      <c r="AG78" s="379"/>
      <c r="AH78" s="380"/>
      <c r="AI78" s="381"/>
      <c r="AJ78" s="377" t="str">
        <f>IF(TRIM(AI78)="", "", IF(VLOOKUP(AI78,'Footnotes list'!$D$9:$E$58,2,FALSE)=0,"",VLOOKUP(AI78,'Footnotes list'!$D$9:$E$58,2,FALSE) ) )</f>
        <v/>
      </c>
      <c r="AK78" s="378"/>
      <c r="AL78" s="379"/>
      <c r="AM78" s="380"/>
      <c r="AN78" s="381"/>
      <c r="AO78" s="377" t="str">
        <f>IF(TRIM(AN78)="", "", IF(VLOOKUP(AN78,'Footnotes list'!$D$9:$E$58,2,FALSE)=0,"",VLOOKUP(AN78,'Footnotes list'!$D$9:$E$58,2,FALSE) ) )</f>
        <v/>
      </c>
      <c r="AP78" s="129" t="str">
        <f>IF(AND(TRIM(AF78)="",TRIM(AK78)=""),"",AF78+AK78)</f>
        <v/>
      </c>
      <c r="AQ78" s="379"/>
      <c r="AR78" s="380"/>
      <c r="AS78" s="381"/>
      <c r="AT78" s="377" t="str">
        <f>IF(TRIM(AS78)="", "", IF(VLOOKUP(AS78,'Footnotes list'!$D$9:$E$58,2,FALSE)=0,"",VLOOKUP(AS78,'Footnotes list'!$D$9:$E$58,2,FALSE) ) )</f>
        <v/>
      </c>
      <c r="AU78" s="403" t="str">
        <f>IF(AND(TRIM(G78)="",TRIM(L78)="",TRIM(AA78)="",TRIM(AP78)=""),"",SUM(G78,L78,AA78,AP78))</f>
        <v/>
      </c>
      <c r="AV78" s="379"/>
      <c r="AW78" s="380"/>
      <c r="AX78" s="381"/>
      <c r="AY78" s="377" t="str">
        <f>IF(TRIM(AX78)="", "", IF(VLOOKUP(AX78,'Footnotes list'!$D$9:$E$58,2,FALSE)=0,"",VLOOKUP(AX78,'Footnotes list'!$D$9:$E$58,2,FALSE) ) )</f>
        <v/>
      </c>
    </row>
    <row r="79" spans="2:51" ht="15" customHeight="1" thickBot="1" x14ac:dyDescent="0.4">
      <c r="B79" s="536"/>
      <c r="C79" s="53" t="s">
        <v>133</v>
      </c>
      <c r="D79" s="530"/>
      <c r="E79" s="47" t="s">
        <v>146</v>
      </c>
      <c r="F79" s="54" t="s">
        <v>234</v>
      </c>
      <c r="G79" s="126" t="str">
        <f>IF(AND(TRIM(G77)="",TRIM(G78)=""),"",G77+G78)</f>
        <v/>
      </c>
      <c r="H79" s="379"/>
      <c r="I79" s="380"/>
      <c r="J79" s="381"/>
      <c r="K79" s="377" t="str">
        <f>IF(TRIM(J79)="", "", IF(VLOOKUP(J79,'Footnotes list'!$D$9:$E$58,2,FALSE)=0,"",VLOOKUP(J79,'Footnotes list'!$D$9:$E$58,2,FALSE) ) )</f>
        <v/>
      </c>
      <c r="L79" s="126" t="str">
        <f>IF(AND(TRIM(L77)="",TRIM(L78)=""),"",L77+L78)</f>
        <v/>
      </c>
      <c r="M79" s="379"/>
      <c r="N79" s="380"/>
      <c r="O79" s="381"/>
      <c r="P79" s="377" t="str">
        <f>IF(TRIM(O79)="", "", IF(VLOOKUP(O79,'Footnotes list'!$D$9:$E$58,2,FALSE)=0,"",VLOOKUP(O79,'Footnotes list'!$D$9:$E$58,2,FALSE) ) )</f>
        <v/>
      </c>
      <c r="Q79" s="126" t="str">
        <f>IF(AND(TRIM(Q77)="",TRIM(Q78)=""),"",Q77+Q78)</f>
        <v/>
      </c>
      <c r="R79" s="379"/>
      <c r="S79" s="380"/>
      <c r="T79" s="381"/>
      <c r="U79" s="377" t="str">
        <f>IF(TRIM(T79)="", "", IF(VLOOKUP(T79,'Footnotes list'!$D$9:$E$58,2,FALSE)=0,"",VLOOKUP(T79,'Footnotes list'!$D$9:$E$58,2,FALSE) ) )</f>
        <v/>
      </c>
      <c r="V79" s="126" t="str">
        <f>IF(AND(TRIM(V77)="",TRIM(V78)=""),"",V77+V78)</f>
        <v/>
      </c>
      <c r="W79" s="379"/>
      <c r="X79" s="380"/>
      <c r="Y79" s="381"/>
      <c r="Z79" s="377" t="str">
        <f>IF(TRIM(Y79)="", "", IF(VLOOKUP(Y79,'Footnotes list'!$D$9:$E$58,2,FALSE)=0,"",VLOOKUP(Y79,'Footnotes list'!$D$9:$E$58,2,FALSE) ) )</f>
        <v/>
      </c>
      <c r="AA79" s="126" t="str">
        <f>IF(AND(TRIM(AA77)="", TRIM(AA78)=""), "", SUM(AA77,AA78))</f>
        <v/>
      </c>
      <c r="AB79" s="379"/>
      <c r="AC79" s="380"/>
      <c r="AD79" s="381"/>
      <c r="AE79" s="377" t="str">
        <f>IF(TRIM(AD79)="", "", IF(VLOOKUP(AD79,'Footnotes list'!$D$9:$E$58,2,FALSE)=0,"",VLOOKUP(AD79,'Footnotes list'!$D$9:$E$58,2,FALSE) ) )</f>
        <v/>
      </c>
      <c r="AF79" s="126" t="str">
        <f>IF(AND(TRIM(AF77)="",TRIM(AF78)=""),"",AF77+AF78)</f>
        <v/>
      </c>
      <c r="AG79" s="379"/>
      <c r="AH79" s="380"/>
      <c r="AI79" s="381"/>
      <c r="AJ79" s="377" t="str">
        <f>IF(TRIM(AI79)="", "", IF(VLOOKUP(AI79,'Footnotes list'!$D$9:$E$58,2,FALSE)=0,"",VLOOKUP(AI79,'Footnotes list'!$D$9:$E$58,2,FALSE) ) )</f>
        <v/>
      </c>
      <c r="AK79" s="126" t="str">
        <f>IF(AND(TRIM(AK77)="",TRIM(AK78)=""),"",AK77+AK78)</f>
        <v/>
      </c>
      <c r="AL79" s="379"/>
      <c r="AM79" s="380"/>
      <c r="AN79" s="381"/>
      <c r="AO79" s="377" t="str">
        <f>IF(TRIM(AN79)="", "", IF(VLOOKUP(AN79,'Footnotes list'!$D$9:$E$58,2,FALSE)=0,"",VLOOKUP(AN79,'Footnotes list'!$D$9:$E$58,2,FALSE) ) )</f>
        <v/>
      </c>
      <c r="AP79" s="126" t="str">
        <f>IF(AND(TRIM(AP77)="", TRIM(AP78)=""), "", SUM(AP77,AP78))</f>
        <v/>
      </c>
      <c r="AQ79" s="379"/>
      <c r="AR79" s="380"/>
      <c r="AS79" s="381"/>
      <c r="AT79" s="377" t="str">
        <f>IF(TRIM(AS79)="", "", IF(VLOOKUP(AS79,'Footnotes list'!$D$9:$E$58,2,FALSE)=0,"",VLOOKUP(AS79,'Footnotes list'!$D$9:$E$58,2,FALSE) ) )</f>
        <v/>
      </c>
      <c r="AU79" s="126" t="str">
        <f>IF(AND(TRIM(AU77)="", TRIM(AU78)=""), "", SUM(AU77,AU78) )</f>
        <v/>
      </c>
      <c r="AV79" s="379"/>
      <c r="AW79" s="380"/>
      <c r="AX79" s="381"/>
      <c r="AY79" s="377" t="str">
        <f>IF(TRIM(AX79)="", "", IF(VLOOKUP(AX79,'Footnotes list'!$D$9:$E$58,2,FALSE)=0,"",VLOOKUP(AX79,'Footnotes list'!$D$9:$E$58,2,FALSE) ) )</f>
        <v/>
      </c>
    </row>
    <row r="80" spans="2:51" ht="15" customHeight="1" x14ac:dyDescent="0.35">
      <c r="B80" s="534" t="s">
        <v>134</v>
      </c>
      <c r="C80" s="41" t="s">
        <v>134</v>
      </c>
      <c r="D80" s="528" t="s">
        <v>99</v>
      </c>
      <c r="E80" s="42" t="s">
        <v>144</v>
      </c>
      <c r="F80" s="43" t="s">
        <v>151</v>
      </c>
      <c r="G80" s="372"/>
      <c r="H80" s="373"/>
      <c r="I80" s="374"/>
      <c r="J80" s="375"/>
      <c r="K80" s="376" t="str">
        <f>IF(TRIM(J80)="", "", IF(VLOOKUP(J80,'Footnotes list'!$D$9:$E$58,2,FALSE)=0,"",VLOOKUP(J80,'Footnotes list'!$D$9:$E$58,2,FALSE) ) )</f>
        <v/>
      </c>
      <c r="L80" s="372"/>
      <c r="M80" s="373"/>
      <c r="N80" s="374"/>
      <c r="O80" s="375"/>
      <c r="P80" s="376" t="str">
        <f>IF(TRIM(O80)="", "", IF(VLOOKUP(O80,'Footnotes list'!$D$9:$E$58,2,FALSE)=0,"",VLOOKUP(O80,'Footnotes list'!$D$9:$E$58,2,FALSE) ) )</f>
        <v/>
      </c>
      <c r="Q80" s="372"/>
      <c r="R80" s="373"/>
      <c r="S80" s="374"/>
      <c r="T80" s="375"/>
      <c r="U80" s="376" t="str">
        <f>IF(TRIM(T80)="", "", IF(VLOOKUP(T80,'Footnotes list'!$D$9:$E$58,2,FALSE)=0,"",VLOOKUP(T80,'Footnotes list'!$D$9:$E$58,2,FALSE) ) )</f>
        <v/>
      </c>
      <c r="V80" s="372"/>
      <c r="W80" s="373"/>
      <c r="X80" s="374"/>
      <c r="Y80" s="375"/>
      <c r="Z80" s="376" t="str">
        <f>IF(TRIM(Y80)="", "", IF(VLOOKUP(Y80,'Footnotes list'!$D$9:$E$58,2,FALSE)=0,"",VLOOKUP(Y80,'Footnotes list'!$D$9:$E$58,2,FALSE) ) )</f>
        <v/>
      </c>
      <c r="AA80" s="382" t="str">
        <f>IF(AND(TRIM(Q80)="",TRIM(V80)=""),"",Q80+V80)</f>
        <v/>
      </c>
      <c r="AB80" s="373"/>
      <c r="AC80" s="374"/>
      <c r="AD80" s="375"/>
      <c r="AE80" s="376" t="str">
        <f>IF(TRIM(AD80)="", "", IF(VLOOKUP(AD80,'Footnotes list'!$D$9:$E$58,2,FALSE)=0,"",VLOOKUP(AD80,'Footnotes list'!$D$9:$E$58,2,FALSE) ) )</f>
        <v/>
      </c>
      <c r="AF80" s="372"/>
      <c r="AG80" s="373"/>
      <c r="AH80" s="374"/>
      <c r="AI80" s="375"/>
      <c r="AJ80" s="376" t="str">
        <f>IF(TRIM(AI80)="", "", IF(VLOOKUP(AI80,'Footnotes list'!$D$9:$E$58,2,FALSE)=0,"",VLOOKUP(AI80,'Footnotes list'!$D$9:$E$58,2,FALSE) ) )</f>
        <v/>
      </c>
      <c r="AK80" s="372"/>
      <c r="AL80" s="373"/>
      <c r="AM80" s="374"/>
      <c r="AN80" s="375"/>
      <c r="AO80" s="376" t="str">
        <f>IF(TRIM(AN80)="", "", IF(VLOOKUP(AN80,'Footnotes list'!$D$9:$E$58,2,FALSE)=0,"",VLOOKUP(AN80,'Footnotes list'!$D$9:$E$58,2,FALSE) ) )</f>
        <v/>
      </c>
      <c r="AP80" s="382" t="str">
        <f>IF(AND(TRIM(AF80)="",TRIM(AK80)=""),"",AF80+AK80)</f>
        <v/>
      </c>
      <c r="AQ80" s="373"/>
      <c r="AR80" s="374"/>
      <c r="AS80" s="375"/>
      <c r="AT80" s="376" t="str">
        <f>IF(TRIM(AS80)="", "", IF(VLOOKUP(AS80,'Footnotes list'!$D$9:$E$58,2,FALSE)=0,"",VLOOKUP(AS80,'Footnotes list'!$D$9:$E$58,2,FALSE) ) )</f>
        <v/>
      </c>
      <c r="AU80" s="382" t="str">
        <f>IF(AND(TRIM(G80)="",TRIM(L80)="",TRIM(AA80)="",TRIM(AP80)=""),"",SUM(G80,L80,AA80,AP80))</f>
        <v/>
      </c>
      <c r="AV80" s="373"/>
      <c r="AW80" s="374"/>
      <c r="AX80" s="375"/>
      <c r="AY80" s="376" t="str">
        <f>IF(TRIM(AX80)="", "", IF(VLOOKUP(AX80,'Footnotes list'!$D$9:$E$58,2,FALSE)=0,"",VLOOKUP(AX80,'Footnotes list'!$D$9:$E$58,2,FALSE) ) )</f>
        <v/>
      </c>
    </row>
    <row r="81" spans="2:51" ht="15" customHeight="1" x14ac:dyDescent="0.35">
      <c r="B81" s="535"/>
      <c r="C81" s="50" t="s">
        <v>134</v>
      </c>
      <c r="D81" s="529"/>
      <c r="E81" s="51" t="s">
        <v>145</v>
      </c>
      <c r="F81" s="52" t="s">
        <v>152</v>
      </c>
      <c r="G81" s="378"/>
      <c r="H81" s="379"/>
      <c r="I81" s="380"/>
      <c r="J81" s="381"/>
      <c r="K81" s="377" t="str">
        <f>IF(TRIM(J81)="", "", IF(VLOOKUP(J81,'Footnotes list'!$D$9:$E$58,2,FALSE)=0,"",VLOOKUP(J81,'Footnotes list'!$D$9:$E$58,2,FALSE) ) )</f>
        <v/>
      </c>
      <c r="L81" s="378"/>
      <c r="M81" s="379"/>
      <c r="N81" s="380"/>
      <c r="O81" s="381"/>
      <c r="P81" s="377" t="str">
        <f>IF(TRIM(O81)="", "", IF(VLOOKUP(O81,'Footnotes list'!$D$9:$E$58,2,FALSE)=0,"",VLOOKUP(O81,'Footnotes list'!$D$9:$E$58,2,FALSE) ) )</f>
        <v/>
      </c>
      <c r="Q81" s="378"/>
      <c r="R81" s="379"/>
      <c r="S81" s="380"/>
      <c r="T81" s="381"/>
      <c r="U81" s="377" t="str">
        <f>IF(TRIM(T81)="", "", IF(VLOOKUP(T81,'Footnotes list'!$D$9:$E$58,2,FALSE)=0,"",VLOOKUP(T81,'Footnotes list'!$D$9:$E$58,2,FALSE) ) )</f>
        <v/>
      </c>
      <c r="V81" s="378"/>
      <c r="W81" s="379"/>
      <c r="X81" s="380"/>
      <c r="Y81" s="381"/>
      <c r="Z81" s="377" t="str">
        <f>IF(TRIM(Y81)="", "", IF(VLOOKUP(Y81,'Footnotes list'!$D$9:$E$58,2,FALSE)=0,"",VLOOKUP(Y81,'Footnotes list'!$D$9:$E$58,2,FALSE) ) )</f>
        <v/>
      </c>
      <c r="AA81" s="129" t="str">
        <f>IF(AND(TRIM(Q81)="",TRIM(V81)=""),"",Q81+V81)</f>
        <v/>
      </c>
      <c r="AB81" s="379"/>
      <c r="AC81" s="380"/>
      <c r="AD81" s="381"/>
      <c r="AE81" s="377" t="str">
        <f>IF(TRIM(AD81)="", "", IF(VLOOKUP(AD81,'Footnotes list'!$D$9:$E$58,2,FALSE)=0,"",VLOOKUP(AD81,'Footnotes list'!$D$9:$E$58,2,FALSE) ) )</f>
        <v/>
      </c>
      <c r="AF81" s="378"/>
      <c r="AG81" s="379"/>
      <c r="AH81" s="380"/>
      <c r="AI81" s="381"/>
      <c r="AJ81" s="377" t="str">
        <f>IF(TRIM(AI81)="", "", IF(VLOOKUP(AI81,'Footnotes list'!$D$9:$E$58,2,FALSE)=0,"",VLOOKUP(AI81,'Footnotes list'!$D$9:$E$58,2,FALSE) ) )</f>
        <v/>
      </c>
      <c r="AK81" s="378"/>
      <c r="AL81" s="379"/>
      <c r="AM81" s="380"/>
      <c r="AN81" s="381"/>
      <c r="AO81" s="377" t="str">
        <f>IF(TRIM(AN81)="", "", IF(VLOOKUP(AN81,'Footnotes list'!$D$9:$E$58,2,FALSE)=0,"",VLOOKUP(AN81,'Footnotes list'!$D$9:$E$58,2,FALSE) ) )</f>
        <v/>
      </c>
      <c r="AP81" s="129" t="str">
        <f>IF(AND(TRIM(AF81)="",TRIM(AK81)=""),"",AF81+AK81)</f>
        <v/>
      </c>
      <c r="AQ81" s="379"/>
      <c r="AR81" s="380"/>
      <c r="AS81" s="381"/>
      <c r="AT81" s="377" t="str">
        <f>IF(TRIM(AS81)="", "", IF(VLOOKUP(AS81,'Footnotes list'!$D$9:$E$58,2,FALSE)=0,"",VLOOKUP(AS81,'Footnotes list'!$D$9:$E$58,2,FALSE) ) )</f>
        <v/>
      </c>
      <c r="AU81" s="403" t="str">
        <f>IF(AND(TRIM(G81)="",TRIM(L81)="",TRIM(AA81)="",TRIM(AP81)=""),"",SUM(G81,L81,AA81,AP81))</f>
        <v/>
      </c>
      <c r="AV81" s="379"/>
      <c r="AW81" s="380"/>
      <c r="AX81" s="381"/>
      <c r="AY81" s="377" t="str">
        <f>IF(TRIM(AX81)="", "", IF(VLOOKUP(AX81,'Footnotes list'!$D$9:$E$58,2,FALSE)=0,"",VLOOKUP(AX81,'Footnotes list'!$D$9:$E$58,2,FALSE) ) )</f>
        <v/>
      </c>
    </row>
    <row r="82" spans="2:51" ht="15" customHeight="1" thickBot="1" x14ac:dyDescent="0.4">
      <c r="B82" s="536"/>
      <c r="C82" s="53" t="s">
        <v>134</v>
      </c>
      <c r="D82" s="530"/>
      <c r="E82" s="47" t="s">
        <v>146</v>
      </c>
      <c r="F82" s="54" t="s">
        <v>234</v>
      </c>
      <c r="G82" s="126" t="str">
        <f>IF(AND(TRIM(G80)="",TRIM(G81)=""),"",G80+G81)</f>
        <v/>
      </c>
      <c r="H82" s="379"/>
      <c r="I82" s="380"/>
      <c r="J82" s="381"/>
      <c r="K82" s="377" t="str">
        <f>IF(TRIM(J82)="", "", IF(VLOOKUP(J82,'Footnotes list'!$D$9:$E$58,2,FALSE)=0,"",VLOOKUP(J82,'Footnotes list'!$D$9:$E$58,2,FALSE) ) )</f>
        <v/>
      </c>
      <c r="L82" s="126" t="str">
        <f>IF(AND(TRIM(L80)="",TRIM(L81)=""),"",L80+L81)</f>
        <v/>
      </c>
      <c r="M82" s="379"/>
      <c r="N82" s="380"/>
      <c r="O82" s="381"/>
      <c r="P82" s="377" t="str">
        <f>IF(TRIM(O82)="", "", IF(VLOOKUP(O82,'Footnotes list'!$D$9:$E$58,2,FALSE)=0,"",VLOOKUP(O82,'Footnotes list'!$D$9:$E$58,2,FALSE) ) )</f>
        <v/>
      </c>
      <c r="Q82" s="126" t="str">
        <f>IF(AND(TRIM(Q80)="",TRIM(Q81)=""),"",Q80+Q81)</f>
        <v/>
      </c>
      <c r="R82" s="379"/>
      <c r="S82" s="380"/>
      <c r="T82" s="381"/>
      <c r="U82" s="377" t="str">
        <f>IF(TRIM(T82)="", "", IF(VLOOKUP(T82,'Footnotes list'!$D$9:$E$58,2,FALSE)=0,"",VLOOKUP(T82,'Footnotes list'!$D$9:$E$58,2,FALSE) ) )</f>
        <v/>
      </c>
      <c r="V82" s="126" t="str">
        <f>IF(AND(TRIM(V80)="",TRIM(V81)=""),"",V80+V81)</f>
        <v/>
      </c>
      <c r="W82" s="379"/>
      <c r="X82" s="380"/>
      <c r="Y82" s="381"/>
      <c r="Z82" s="377" t="str">
        <f>IF(TRIM(Y82)="", "", IF(VLOOKUP(Y82,'Footnotes list'!$D$9:$E$58,2,FALSE)=0,"",VLOOKUP(Y82,'Footnotes list'!$D$9:$E$58,2,FALSE) ) )</f>
        <v/>
      </c>
      <c r="AA82" s="126" t="str">
        <f>IF(AND(TRIM(AA80)="", TRIM(AA81)=""), "", SUM(AA80,AA81))</f>
        <v/>
      </c>
      <c r="AB82" s="379"/>
      <c r="AC82" s="380"/>
      <c r="AD82" s="381"/>
      <c r="AE82" s="377" t="str">
        <f>IF(TRIM(AD82)="", "", IF(VLOOKUP(AD82,'Footnotes list'!$D$9:$E$58,2,FALSE)=0,"",VLOOKUP(AD82,'Footnotes list'!$D$9:$E$58,2,FALSE) ) )</f>
        <v/>
      </c>
      <c r="AF82" s="126" t="str">
        <f>IF(AND(TRIM(AF80)="",TRIM(AF81)=""),"",AF80+AF81)</f>
        <v/>
      </c>
      <c r="AG82" s="379"/>
      <c r="AH82" s="380"/>
      <c r="AI82" s="381"/>
      <c r="AJ82" s="377" t="str">
        <f>IF(TRIM(AI82)="", "", IF(VLOOKUP(AI82,'Footnotes list'!$D$9:$E$58,2,FALSE)=0,"",VLOOKUP(AI82,'Footnotes list'!$D$9:$E$58,2,FALSE) ) )</f>
        <v/>
      </c>
      <c r="AK82" s="126" t="str">
        <f>IF(AND(TRIM(AK80)="",TRIM(AK81)=""),"",AK80+AK81)</f>
        <v/>
      </c>
      <c r="AL82" s="379"/>
      <c r="AM82" s="380"/>
      <c r="AN82" s="381"/>
      <c r="AO82" s="377" t="str">
        <f>IF(TRIM(AN82)="", "", IF(VLOOKUP(AN82,'Footnotes list'!$D$9:$E$58,2,FALSE)=0,"",VLOOKUP(AN82,'Footnotes list'!$D$9:$E$58,2,FALSE) ) )</f>
        <v/>
      </c>
      <c r="AP82" s="126" t="str">
        <f>IF(AND(TRIM(AP80)="", TRIM(AP81)=""), "", SUM(AP80,AP81))</f>
        <v/>
      </c>
      <c r="AQ82" s="379"/>
      <c r="AR82" s="380"/>
      <c r="AS82" s="381"/>
      <c r="AT82" s="377" t="str">
        <f>IF(TRIM(AS82)="", "", IF(VLOOKUP(AS82,'Footnotes list'!$D$9:$E$58,2,FALSE)=0,"",VLOOKUP(AS82,'Footnotes list'!$D$9:$E$58,2,FALSE) ) )</f>
        <v/>
      </c>
      <c r="AU82" s="126" t="str">
        <f>IF(AND(TRIM(AU80)="", TRIM(AU81)=""), "", SUM(AU80,AU81) )</f>
        <v/>
      </c>
      <c r="AV82" s="379"/>
      <c r="AW82" s="380"/>
      <c r="AX82" s="381"/>
      <c r="AY82" s="377" t="str">
        <f>IF(TRIM(AX82)="", "", IF(VLOOKUP(AX82,'Footnotes list'!$D$9:$E$58,2,FALSE)=0,"",VLOOKUP(AX82,'Footnotes list'!$D$9:$E$58,2,FALSE) ) )</f>
        <v/>
      </c>
    </row>
    <row r="83" spans="2:51" ht="15" customHeight="1" x14ac:dyDescent="0.35">
      <c r="B83" s="534" t="s">
        <v>135</v>
      </c>
      <c r="C83" s="41" t="s">
        <v>135</v>
      </c>
      <c r="D83" s="528" t="s">
        <v>100</v>
      </c>
      <c r="E83" s="42" t="s">
        <v>144</v>
      </c>
      <c r="F83" s="43" t="s">
        <v>151</v>
      </c>
      <c r="G83" s="372"/>
      <c r="H83" s="373"/>
      <c r="I83" s="374"/>
      <c r="J83" s="375"/>
      <c r="K83" s="376" t="str">
        <f>IF(TRIM(J83)="", "", IF(VLOOKUP(J83,'Footnotes list'!$D$9:$E$58,2,FALSE)=0,"",VLOOKUP(J83,'Footnotes list'!$D$9:$E$58,2,FALSE) ) )</f>
        <v/>
      </c>
      <c r="L83" s="372"/>
      <c r="M83" s="373"/>
      <c r="N83" s="374"/>
      <c r="O83" s="375"/>
      <c r="P83" s="376" t="str">
        <f>IF(TRIM(O83)="", "", IF(VLOOKUP(O83,'Footnotes list'!$D$9:$E$58,2,FALSE)=0,"",VLOOKUP(O83,'Footnotes list'!$D$9:$E$58,2,FALSE) ) )</f>
        <v/>
      </c>
      <c r="Q83" s="372"/>
      <c r="R83" s="373"/>
      <c r="S83" s="374"/>
      <c r="T83" s="375"/>
      <c r="U83" s="376" t="str">
        <f>IF(TRIM(T83)="", "", IF(VLOOKUP(T83,'Footnotes list'!$D$9:$E$58,2,FALSE)=0,"",VLOOKUP(T83,'Footnotes list'!$D$9:$E$58,2,FALSE) ) )</f>
        <v/>
      </c>
      <c r="V83" s="372"/>
      <c r="W83" s="373"/>
      <c r="X83" s="374"/>
      <c r="Y83" s="375"/>
      <c r="Z83" s="376" t="str">
        <f>IF(TRIM(Y83)="", "", IF(VLOOKUP(Y83,'Footnotes list'!$D$9:$E$58,2,FALSE)=0,"",VLOOKUP(Y83,'Footnotes list'!$D$9:$E$58,2,FALSE) ) )</f>
        <v/>
      </c>
      <c r="AA83" s="382" t="str">
        <f>IF(AND(TRIM(Q83)="",TRIM(V83)=""),"",Q83+V83)</f>
        <v/>
      </c>
      <c r="AB83" s="373"/>
      <c r="AC83" s="374"/>
      <c r="AD83" s="375"/>
      <c r="AE83" s="376" t="str">
        <f>IF(TRIM(AD83)="", "", IF(VLOOKUP(AD83,'Footnotes list'!$D$9:$E$58,2,FALSE)=0,"",VLOOKUP(AD83,'Footnotes list'!$D$9:$E$58,2,FALSE) ) )</f>
        <v/>
      </c>
      <c r="AF83" s="372"/>
      <c r="AG83" s="373"/>
      <c r="AH83" s="374"/>
      <c r="AI83" s="375"/>
      <c r="AJ83" s="376" t="str">
        <f>IF(TRIM(AI83)="", "", IF(VLOOKUP(AI83,'Footnotes list'!$D$9:$E$58,2,FALSE)=0,"",VLOOKUP(AI83,'Footnotes list'!$D$9:$E$58,2,FALSE) ) )</f>
        <v/>
      </c>
      <c r="AK83" s="372"/>
      <c r="AL83" s="373"/>
      <c r="AM83" s="374"/>
      <c r="AN83" s="375"/>
      <c r="AO83" s="376" t="str">
        <f>IF(TRIM(AN83)="", "", IF(VLOOKUP(AN83,'Footnotes list'!$D$9:$E$58,2,FALSE)=0,"",VLOOKUP(AN83,'Footnotes list'!$D$9:$E$58,2,FALSE) ) )</f>
        <v/>
      </c>
      <c r="AP83" s="382" t="str">
        <f>IF(AND(TRIM(AF83)="",TRIM(AK83)=""),"",AF83+AK83)</f>
        <v/>
      </c>
      <c r="AQ83" s="373"/>
      <c r="AR83" s="374"/>
      <c r="AS83" s="375"/>
      <c r="AT83" s="376" t="str">
        <f>IF(TRIM(AS83)="", "", IF(VLOOKUP(AS83,'Footnotes list'!$D$9:$E$58,2,FALSE)=0,"",VLOOKUP(AS83,'Footnotes list'!$D$9:$E$58,2,FALSE) ) )</f>
        <v/>
      </c>
      <c r="AU83" s="382" t="str">
        <f>IF(AND(TRIM(G83)="",TRIM(L83)="",TRIM(AA83)="",TRIM(AP83)=""),"",SUM(G83,L83,AA83,AP83))</f>
        <v/>
      </c>
      <c r="AV83" s="373"/>
      <c r="AW83" s="374"/>
      <c r="AX83" s="375"/>
      <c r="AY83" s="376" t="str">
        <f>IF(TRIM(AX83)="", "", IF(VLOOKUP(AX83,'Footnotes list'!$D$9:$E$58,2,FALSE)=0,"",VLOOKUP(AX83,'Footnotes list'!$D$9:$E$58,2,FALSE) ) )</f>
        <v/>
      </c>
    </row>
    <row r="84" spans="2:51" ht="15" customHeight="1" x14ac:dyDescent="0.35">
      <c r="B84" s="535"/>
      <c r="C84" s="50" t="s">
        <v>135</v>
      </c>
      <c r="D84" s="529"/>
      <c r="E84" s="51" t="s">
        <v>145</v>
      </c>
      <c r="F84" s="52" t="s">
        <v>152</v>
      </c>
      <c r="G84" s="378"/>
      <c r="H84" s="379"/>
      <c r="I84" s="380"/>
      <c r="J84" s="381"/>
      <c r="K84" s="377" t="str">
        <f>IF(TRIM(J84)="", "", IF(VLOOKUP(J84,'Footnotes list'!$D$9:$E$58,2,FALSE)=0,"",VLOOKUP(J84,'Footnotes list'!$D$9:$E$58,2,FALSE) ) )</f>
        <v/>
      </c>
      <c r="L84" s="378"/>
      <c r="M84" s="379"/>
      <c r="N84" s="380"/>
      <c r="O84" s="381"/>
      <c r="P84" s="377" t="str">
        <f>IF(TRIM(O84)="", "", IF(VLOOKUP(O84,'Footnotes list'!$D$9:$E$58,2,FALSE)=0,"",VLOOKUP(O84,'Footnotes list'!$D$9:$E$58,2,FALSE) ) )</f>
        <v/>
      </c>
      <c r="Q84" s="378"/>
      <c r="R84" s="379"/>
      <c r="S84" s="380"/>
      <c r="T84" s="381"/>
      <c r="U84" s="377" t="str">
        <f>IF(TRIM(T84)="", "", IF(VLOOKUP(T84,'Footnotes list'!$D$9:$E$58,2,FALSE)=0,"",VLOOKUP(T84,'Footnotes list'!$D$9:$E$58,2,FALSE) ) )</f>
        <v/>
      </c>
      <c r="V84" s="378"/>
      <c r="W84" s="379"/>
      <c r="X84" s="380"/>
      <c r="Y84" s="381"/>
      <c r="Z84" s="377" t="str">
        <f>IF(TRIM(Y84)="", "", IF(VLOOKUP(Y84,'Footnotes list'!$D$9:$E$58,2,FALSE)=0,"",VLOOKUP(Y84,'Footnotes list'!$D$9:$E$58,2,FALSE) ) )</f>
        <v/>
      </c>
      <c r="AA84" s="129" t="str">
        <f>IF(AND(TRIM(Q84)="",TRIM(V84)=""),"",Q84+V84)</f>
        <v/>
      </c>
      <c r="AB84" s="379"/>
      <c r="AC84" s="380"/>
      <c r="AD84" s="381"/>
      <c r="AE84" s="377" t="str">
        <f>IF(TRIM(AD84)="", "", IF(VLOOKUP(AD84,'Footnotes list'!$D$9:$E$58,2,FALSE)=0,"",VLOOKUP(AD84,'Footnotes list'!$D$9:$E$58,2,FALSE) ) )</f>
        <v/>
      </c>
      <c r="AF84" s="378"/>
      <c r="AG84" s="379"/>
      <c r="AH84" s="380"/>
      <c r="AI84" s="381"/>
      <c r="AJ84" s="377" t="str">
        <f>IF(TRIM(AI84)="", "", IF(VLOOKUP(AI84,'Footnotes list'!$D$9:$E$58,2,FALSE)=0,"",VLOOKUP(AI84,'Footnotes list'!$D$9:$E$58,2,FALSE) ) )</f>
        <v/>
      </c>
      <c r="AK84" s="378"/>
      <c r="AL84" s="379"/>
      <c r="AM84" s="380"/>
      <c r="AN84" s="381"/>
      <c r="AO84" s="377" t="str">
        <f>IF(TRIM(AN84)="", "", IF(VLOOKUP(AN84,'Footnotes list'!$D$9:$E$58,2,FALSE)=0,"",VLOOKUP(AN84,'Footnotes list'!$D$9:$E$58,2,FALSE) ) )</f>
        <v/>
      </c>
      <c r="AP84" s="129" t="str">
        <f>IF(AND(TRIM(AF84)="",TRIM(AK84)=""),"",AF84+AK84)</f>
        <v/>
      </c>
      <c r="AQ84" s="379"/>
      <c r="AR84" s="380"/>
      <c r="AS84" s="381"/>
      <c r="AT84" s="377" t="str">
        <f>IF(TRIM(AS84)="", "", IF(VLOOKUP(AS84,'Footnotes list'!$D$9:$E$58,2,FALSE)=0,"",VLOOKUP(AS84,'Footnotes list'!$D$9:$E$58,2,FALSE) ) )</f>
        <v/>
      </c>
      <c r="AU84" s="403" t="str">
        <f>IF(AND(TRIM(G84)="",TRIM(L84)="",TRIM(AA84)="",TRIM(AP84)=""),"",SUM(G84,L84,AA84,AP84))</f>
        <v/>
      </c>
      <c r="AV84" s="379"/>
      <c r="AW84" s="380"/>
      <c r="AX84" s="381"/>
      <c r="AY84" s="377" t="str">
        <f>IF(TRIM(AX84)="", "", IF(VLOOKUP(AX84,'Footnotes list'!$D$9:$E$58,2,FALSE)=0,"",VLOOKUP(AX84,'Footnotes list'!$D$9:$E$58,2,FALSE) ) )</f>
        <v/>
      </c>
    </row>
    <row r="85" spans="2:51" ht="15" customHeight="1" thickBot="1" x14ac:dyDescent="0.4">
      <c r="B85" s="536"/>
      <c r="C85" s="53" t="s">
        <v>135</v>
      </c>
      <c r="D85" s="530"/>
      <c r="E85" s="47" t="s">
        <v>146</v>
      </c>
      <c r="F85" s="54" t="s">
        <v>234</v>
      </c>
      <c r="G85" s="126" t="str">
        <f>IF(AND(TRIM(G83)="",TRIM(G84)=""),"",G83+G84)</f>
        <v/>
      </c>
      <c r="H85" s="379"/>
      <c r="I85" s="380"/>
      <c r="J85" s="381"/>
      <c r="K85" s="377" t="str">
        <f>IF(TRIM(J85)="", "", IF(VLOOKUP(J85,'Footnotes list'!$D$9:$E$58,2,FALSE)=0,"",VLOOKUP(J85,'Footnotes list'!$D$9:$E$58,2,FALSE) ) )</f>
        <v/>
      </c>
      <c r="L85" s="126" t="str">
        <f>IF(AND(TRIM(L83)="",TRIM(L84)=""),"",L83+L84)</f>
        <v/>
      </c>
      <c r="M85" s="379"/>
      <c r="N85" s="380"/>
      <c r="O85" s="381"/>
      <c r="P85" s="377" t="str">
        <f>IF(TRIM(O85)="", "", IF(VLOOKUP(O85,'Footnotes list'!$D$9:$E$58,2,FALSE)=0,"",VLOOKUP(O85,'Footnotes list'!$D$9:$E$58,2,FALSE) ) )</f>
        <v/>
      </c>
      <c r="Q85" s="126" t="str">
        <f>IF(AND(TRIM(Q83)="",TRIM(Q84)=""),"",Q83+Q84)</f>
        <v/>
      </c>
      <c r="R85" s="379"/>
      <c r="S85" s="380"/>
      <c r="T85" s="381"/>
      <c r="U85" s="377" t="str">
        <f>IF(TRIM(T85)="", "", IF(VLOOKUP(T85,'Footnotes list'!$D$9:$E$58,2,FALSE)=0,"",VLOOKUP(T85,'Footnotes list'!$D$9:$E$58,2,FALSE) ) )</f>
        <v/>
      </c>
      <c r="V85" s="126" t="str">
        <f>IF(AND(TRIM(V83)="",TRIM(V84)=""),"",V83+V84)</f>
        <v/>
      </c>
      <c r="W85" s="379"/>
      <c r="X85" s="380"/>
      <c r="Y85" s="381"/>
      <c r="Z85" s="377" t="str">
        <f>IF(TRIM(Y85)="", "", IF(VLOOKUP(Y85,'Footnotes list'!$D$9:$E$58,2,FALSE)=0,"",VLOOKUP(Y85,'Footnotes list'!$D$9:$E$58,2,FALSE) ) )</f>
        <v/>
      </c>
      <c r="AA85" s="126" t="str">
        <f>IF(AND(TRIM(AA83)="", TRIM(AA84)=""), "", SUM(AA83,AA84))</f>
        <v/>
      </c>
      <c r="AB85" s="379"/>
      <c r="AC85" s="380"/>
      <c r="AD85" s="381"/>
      <c r="AE85" s="377" t="str">
        <f>IF(TRIM(AD85)="", "", IF(VLOOKUP(AD85,'Footnotes list'!$D$9:$E$58,2,FALSE)=0,"",VLOOKUP(AD85,'Footnotes list'!$D$9:$E$58,2,FALSE) ) )</f>
        <v/>
      </c>
      <c r="AF85" s="126" t="str">
        <f>IF(AND(TRIM(AF83)="",TRIM(AF84)=""),"",AF83+AF84)</f>
        <v/>
      </c>
      <c r="AG85" s="379"/>
      <c r="AH85" s="380"/>
      <c r="AI85" s="381"/>
      <c r="AJ85" s="377" t="str">
        <f>IF(TRIM(AI85)="", "", IF(VLOOKUP(AI85,'Footnotes list'!$D$9:$E$58,2,FALSE)=0,"",VLOOKUP(AI85,'Footnotes list'!$D$9:$E$58,2,FALSE) ) )</f>
        <v/>
      </c>
      <c r="AK85" s="126" t="str">
        <f>IF(AND(TRIM(AK83)="",TRIM(AK84)=""),"",AK83+AK84)</f>
        <v/>
      </c>
      <c r="AL85" s="379"/>
      <c r="AM85" s="380"/>
      <c r="AN85" s="381"/>
      <c r="AO85" s="377" t="str">
        <f>IF(TRIM(AN85)="", "", IF(VLOOKUP(AN85,'Footnotes list'!$D$9:$E$58,2,FALSE)=0,"",VLOOKUP(AN85,'Footnotes list'!$D$9:$E$58,2,FALSE) ) )</f>
        <v/>
      </c>
      <c r="AP85" s="126" t="str">
        <f>IF(AND(TRIM(AP83)="", TRIM(AP84)=""), "", SUM(AP83,AP84))</f>
        <v/>
      </c>
      <c r="AQ85" s="379"/>
      <c r="AR85" s="380"/>
      <c r="AS85" s="381"/>
      <c r="AT85" s="377" t="str">
        <f>IF(TRIM(AS85)="", "", IF(VLOOKUP(AS85,'Footnotes list'!$D$9:$E$58,2,FALSE)=0,"",VLOOKUP(AS85,'Footnotes list'!$D$9:$E$58,2,FALSE) ) )</f>
        <v/>
      </c>
      <c r="AU85" s="126" t="str">
        <f>IF(AND(TRIM(AU83)="", TRIM(AU84)=""), "", SUM(AU83,AU84) )</f>
        <v/>
      </c>
      <c r="AV85" s="379"/>
      <c r="AW85" s="380"/>
      <c r="AX85" s="381"/>
      <c r="AY85" s="377" t="str">
        <f>IF(TRIM(AX85)="", "", IF(VLOOKUP(AX85,'Footnotes list'!$D$9:$E$58,2,FALSE)=0,"",VLOOKUP(AX85,'Footnotes list'!$D$9:$E$58,2,FALSE) ) )</f>
        <v/>
      </c>
    </row>
    <row r="86" spans="2:51" ht="15" customHeight="1" thickBot="1" x14ac:dyDescent="0.4">
      <c r="B86" s="534" t="s">
        <v>136</v>
      </c>
      <c r="C86" s="55"/>
      <c r="D86" s="528" t="s">
        <v>101</v>
      </c>
      <c r="E86" s="55"/>
      <c r="F86" s="45" t="s">
        <v>233</v>
      </c>
      <c r="G86" s="125"/>
      <c r="H86" s="137"/>
      <c r="I86" s="138"/>
      <c r="J86" s="139"/>
      <c r="K86" s="136"/>
      <c r="L86" s="125"/>
      <c r="M86" s="137"/>
      <c r="N86" s="138"/>
      <c r="O86" s="139"/>
      <c r="P86" s="136"/>
      <c r="Q86" s="125"/>
      <c r="R86" s="137"/>
      <c r="S86" s="138"/>
      <c r="T86" s="139"/>
      <c r="U86" s="136"/>
      <c r="V86" s="125"/>
      <c r="W86" s="137"/>
      <c r="X86" s="138"/>
      <c r="Y86" s="139"/>
      <c r="Z86" s="136"/>
      <c r="AA86" s="125"/>
      <c r="AB86" s="137"/>
      <c r="AC86" s="138"/>
      <c r="AD86" s="139"/>
      <c r="AE86" s="136"/>
      <c r="AF86" s="125"/>
      <c r="AG86" s="137"/>
      <c r="AH86" s="138"/>
      <c r="AI86" s="139"/>
      <c r="AJ86" s="136"/>
      <c r="AK86" s="125"/>
      <c r="AL86" s="137"/>
      <c r="AM86" s="138"/>
      <c r="AN86" s="139"/>
      <c r="AO86" s="136"/>
      <c r="AP86" s="125"/>
      <c r="AQ86" s="137"/>
      <c r="AR86" s="138"/>
      <c r="AS86" s="139"/>
      <c r="AT86" s="136"/>
      <c r="AU86" s="125"/>
      <c r="AV86" s="137"/>
      <c r="AW86" s="138"/>
      <c r="AX86" s="139"/>
      <c r="AY86" s="136"/>
    </row>
    <row r="87" spans="2:51" ht="15" customHeight="1" x14ac:dyDescent="0.35">
      <c r="B87" s="535"/>
      <c r="C87" s="50" t="s">
        <v>136</v>
      </c>
      <c r="D87" s="529"/>
      <c r="E87" s="51" t="s">
        <v>145</v>
      </c>
      <c r="F87" s="52" t="s">
        <v>152</v>
      </c>
      <c r="G87" s="378"/>
      <c r="H87" s="379"/>
      <c r="I87" s="380"/>
      <c r="J87" s="381"/>
      <c r="K87" s="377" t="str">
        <f>IF(TRIM(J87)="", "", IF(VLOOKUP(J87,'Footnotes list'!$D$9:$E$58,2,FALSE)=0,"",VLOOKUP(J87,'Footnotes list'!$D$9:$E$58,2,FALSE) ) )</f>
        <v/>
      </c>
      <c r="L87" s="378"/>
      <c r="M87" s="379"/>
      <c r="N87" s="380"/>
      <c r="O87" s="381"/>
      <c r="P87" s="377" t="str">
        <f>IF(TRIM(O87)="", "", IF(VLOOKUP(O87,'Footnotes list'!$D$9:$E$58,2,FALSE)=0,"",VLOOKUP(O87,'Footnotes list'!$D$9:$E$58,2,FALSE) ) )</f>
        <v/>
      </c>
      <c r="Q87" s="378"/>
      <c r="R87" s="379"/>
      <c r="S87" s="380"/>
      <c r="T87" s="381"/>
      <c r="U87" s="377" t="str">
        <f>IF(TRIM(T87)="", "", IF(VLOOKUP(T87,'Footnotes list'!$D$9:$E$58,2,FALSE)=0,"",VLOOKUP(T87,'Footnotes list'!$D$9:$E$58,2,FALSE) ) )</f>
        <v/>
      </c>
      <c r="V87" s="378"/>
      <c r="W87" s="379"/>
      <c r="X87" s="380"/>
      <c r="Y87" s="381"/>
      <c r="Z87" s="377" t="str">
        <f>IF(TRIM(Y87)="", "", IF(VLOOKUP(Y87,'Footnotes list'!$D$9:$E$58,2,FALSE)=0,"",VLOOKUP(Y87,'Footnotes list'!$D$9:$E$58,2,FALSE) ) )</f>
        <v/>
      </c>
      <c r="AA87" s="129" t="str">
        <f>IF(AND(TRIM(Q87)="",TRIM(V87)=""),"",Q87+V87)</f>
        <v/>
      </c>
      <c r="AB87" s="379"/>
      <c r="AC87" s="380"/>
      <c r="AD87" s="381"/>
      <c r="AE87" s="377" t="str">
        <f>IF(TRIM(AD87)="", "", IF(VLOOKUP(AD87,'Footnotes list'!$D$9:$E$58,2,FALSE)=0,"",VLOOKUP(AD87,'Footnotes list'!$D$9:$E$58,2,FALSE) ) )</f>
        <v/>
      </c>
      <c r="AF87" s="378"/>
      <c r="AG87" s="379"/>
      <c r="AH87" s="380"/>
      <c r="AI87" s="381"/>
      <c r="AJ87" s="377" t="str">
        <f>IF(TRIM(AI87)="", "", IF(VLOOKUP(AI87,'Footnotes list'!$D$9:$E$58,2,FALSE)=0,"",VLOOKUP(AI87,'Footnotes list'!$D$9:$E$58,2,FALSE) ) )</f>
        <v/>
      </c>
      <c r="AK87" s="378"/>
      <c r="AL87" s="379"/>
      <c r="AM87" s="380"/>
      <c r="AN87" s="381"/>
      <c r="AO87" s="377" t="str">
        <f>IF(TRIM(AN87)="", "", IF(VLOOKUP(AN87,'Footnotes list'!$D$9:$E$58,2,FALSE)=0,"",VLOOKUP(AN87,'Footnotes list'!$D$9:$E$58,2,FALSE) ) )</f>
        <v/>
      </c>
      <c r="AP87" s="129" t="str">
        <f>IF(AND(TRIM(AF87)="",TRIM(AK87)=""),"",AF87+AK87)</f>
        <v/>
      </c>
      <c r="AQ87" s="379"/>
      <c r="AR87" s="380"/>
      <c r="AS87" s="381"/>
      <c r="AT87" s="377" t="str">
        <f>IF(TRIM(AS87)="", "", IF(VLOOKUP(AS87,'Footnotes list'!$D$9:$E$58,2,FALSE)=0,"",VLOOKUP(AS87,'Footnotes list'!$D$9:$E$58,2,FALSE) ) )</f>
        <v/>
      </c>
      <c r="AU87" s="403" t="str">
        <f>IF(AND(TRIM(G87)="",TRIM(L87)="",TRIM(AA87)="",TRIM(AP87)=""),"",SUM(G87,L87,AA87,AP87))</f>
        <v/>
      </c>
      <c r="AV87" s="379"/>
      <c r="AW87" s="380"/>
      <c r="AX87" s="381"/>
      <c r="AY87" s="377" t="str">
        <f>IF(TRIM(AX87)="", "", IF(VLOOKUP(AX87,'Footnotes list'!$D$9:$E$58,2,FALSE)=0,"",VLOOKUP(AX87,'Footnotes list'!$D$9:$E$58,2,FALSE) ) )</f>
        <v/>
      </c>
    </row>
    <row r="88" spans="2:51" ht="15" customHeight="1" thickBot="1" x14ac:dyDescent="0.4">
      <c r="B88" s="536"/>
      <c r="C88" s="53" t="s">
        <v>136</v>
      </c>
      <c r="D88" s="530"/>
      <c r="E88" s="47" t="s">
        <v>146</v>
      </c>
      <c r="F88" s="54" t="s">
        <v>234</v>
      </c>
      <c r="G88" s="126" t="str">
        <f>IF(AND(TRIM(G86)="",TRIM(G87)=""),"",G86+G87)</f>
        <v/>
      </c>
      <c r="H88" s="379"/>
      <c r="I88" s="380"/>
      <c r="J88" s="381"/>
      <c r="K88" s="377" t="str">
        <f>IF(TRIM(J88)="", "", IF(VLOOKUP(J88,'Footnotes list'!$D$9:$E$58,2,FALSE)=0,"",VLOOKUP(J88,'Footnotes list'!$D$9:$E$58,2,FALSE) ) )</f>
        <v/>
      </c>
      <c r="L88" s="126" t="str">
        <f>IF(AND(TRIM(L86)="",TRIM(L87)=""),"",L86+L87)</f>
        <v/>
      </c>
      <c r="M88" s="379"/>
      <c r="N88" s="380"/>
      <c r="O88" s="381"/>
      <c r="P88" s="377" t="str">
        <f>IF(TRIM(O88)="", "", IF(VLOOKUP(O88,'Footnotes list'!$D$9:$E$58,2,FALSE)=0,"",VLOOKUP(O88,'Footnotes list'!$D$9:$E$58,2,FALSE) ) )</f>
        <v/>
      </c>
      <c r="Q88" s="126" t="str">
        <f>IF(AND(TRIM(Q86)="",TRIM(Q87)=""),"",Q86+Q87)</f>
        <v/>
      </c>
      <c r="R88" s="379"/>
      <c r="S88" s="380"/>
      <c r="T88" s="381"/>
      <c r="U88" s="377" t="str">
        <f>IF(TRIM(T88)="", "", IF(VLOOKUP(T88,'Footnotes list'!$D$9:$E$58,2,FALSE)=0,"",VLOOKUP(T88,'Footnotes list'!$D$9:$E$58,2,FALSE) ) )</f>
        <v/>
      </c>
      <c r="V88" s="126" t="str">
        <f>IF(AND(TRIM(V86)="",TRIM(V87)=""),"",V86+V87)</f>
        <v/>
      </c>
      <c r="W88" s="379"/>
      <c r="X88" s="380"/>
      <c r="Y88" s="381"/>
      <c r="Z88" s="377" t="str">
        <f>IF(TRIM(Y88)="", "", IF(VLOOKUP(Y88,'Footnotes list'!$D$9:$E$58,2,FALSE)=0,"",VLOOKUP(Y88,'Footnotes list'!$D$9:$E$58,2,FALSE) ) )</f>
        <v/>
      </c>
      <c r="AA88" s="126" t="str">
        <f>IF(AND(TRIM(AA86)="", TRIM(AA87)=""), "", SUM(AA86,AA87))</f>
        <v/>
      </c>
      <c r="AB88" s="379"/>
      <c r="AC88" s="380"/>
      <c r="AD88" s="381"/>
      <c r="AE88" s="377" t="str">
        <f>IF(TRIM(AD88)="", "", IF(VLOOKUP(AD88,'Footnotes list'!$D$9:$E$58,2,FALSE)=0,"",VLOOKUP(AD88,'Footnotes list'!$D$9:$E$58,2,FALSE) ) )</f>
        <v/>
      </c>
      <c r="AF88" s="126" t="str">
        <f>IF(AND(TRIM(AF86)="",TRIM(AF87)=""),"",AF86+AF87)</f>
        <v/>
      </c>
      <c r="AG88" s="379"/>
      <c r="AH88" s="380"/>
      <c r="AI88" s="381"/>
      <c r="AJ88" s="377" t="str">
        <f>IF(TRIM(AI88)="", "", IF(VLOOKUP(AI88,'Footnotes list'!$D$9:$E$58,2,FALSE)=0,"",VLOOKUP(AI88,'Footnotes list'!$D$9:$E$58,2,FALSE) ) )</f>
        <v/>
      </c>
      <c r="AK88" s="126" t="str">
        <f>IF(AND(TRIM(AK86)="",TRIM(AK87)=""),"",AK86+AK87)</f>
        <v/>
      </c>
      <c r="AL88" s="379"/>
      <c r="AM88" s="380"/>
      <c r="AN88" s="381"/>
      <c r="AO88" s="377" t="str">
        <f>IF(TRIM(AN88)="", "", IF(VLOOKUP(AN88,'Footnotes list'!$D$9:$E$58,2,FALSE)=0,"",VLOOKUP(AN88,'Footnotes list'!$D$9:$E$58,2,FALSE) ) )</f>
        <v/>
      </c>
      <c r="AP88" s="126" t="str">
        <f>IF(AND(TRIM(AP86)="", TRIM(AP87)=""), "", SUM(AP86,AP87))</f>
        <v/>
      </c>
      <c r="AQ88" s="379"/>
      <c r="AR88" s="380"/>
      <c r="AS88" s="381"/>
      <c r="AT88" s="377" t="str">
        <f>IF(TRIM(AS88)="", "", IF(VLOOKUP(AS88,'Footnotes list'!$D$9:$E$58,2,FALSE)=0,"",VLOOKUP(AS88,'Footnotes list'!$D$9:$E$58,2,FALSE) ) )</f>
        <v/>
      </c>
      <c r="AU88" s="126" t="str">
        <f>IF(AND(TRIM(AU86)="", TRIM(AU87)=""), "", SUM(AU86,AU87) )</f>
        <v/>
      </c>
      <c r="AV88" s="379"/>
      <c r="AW88" s="380"/>
      <c r="AX88" s="381"/>
      <c r="AY88" s="377" t="str">
        <f>IF(TRIM(AX88)="", "", IF(VLOOKUP(AX88,'Footnotes list'!$D$9:$E$58,2,FALSE)=0,"",VLOOKUP(AX88,'Footnotes list'!$D$9:$E$58,2,FALSE) ) )</f>
        <v/>
      </c>
    </row>
    <row r="89" spans="2:51" ht="15" customHeight="1" x14ac:dyDescent="0.35">
      <c r="B89" s="534" t="s">
        <v>137</v>
      </c>
      <c r="C89" s="41" t="s">
        <v>137</v>
      </c>
      <c r="D89" s="528" t="s">
        <v>160</v>
      </c>
      <c r="E89" s="42" t="s">
        <v>144</v>
      </c>
      <c r="F89" s="43" t="s">
        <v>151</v>
      </c>
      <c r="G89" s="372"/>
      <c r="H89" s="373"/>
      <c r="I89" s="374"/>
      <c r="J89" s="375"/>
      <c r="K89" s="376" t="str">
        <f>IF(TRIM(J89)="", "", IF(VLOOKUP(J89,'Footnotes list'!$D$9:$E$58,2,FALSE)=0,"",VLOOKUP(J89,'Footnotes list'!$D$9:$E$58,2,FALSE) ) )</f>
        <v/>
      </c>
      <c r="L89" s="372"/>
      <c r="M89" s="373"/>
      <c r="N89" s="374"/>
      <c r="O89" s="375"/>
      <c r="P89" s="376" t="str">
        <f>IF(TRIM(O89)="", "", IF(VLOOKUP(O89,'Footnotes list'!$D$9:$E$58,2,FALSE)=0,"",VLOOKUP(O89,'Footnotes list'!$D$9:$E$58,2,FALSE) ) )</f>
        <v/>
      </c>
      <c r="Q89" s="372"/>
      <c r="R89" s="373"/>
      <c r="S89" s="374"/>
      <c r="T89" s="375"/>
      <c r="U89" s="376" t="str">
        <f>IF(TRIM(T89)="", "", IF(VLOOKUP(T89,'Footnotes list'!$D$9:$E$58,2,FALSE)=0,"",VLOOKUP(T89,'Footnotes list'!$D$9:$E$58,2,FALSE) ) )</f>
        <v/>
      </c>
      <c r="V89" s="372"/>
      <c r="W89" s="373"/>
      <c r="X89" s="374"/>
      <c r="Y89" s="375"/>
      <c r="Z89" s="376" t="str">
        <f>IF(TRIM(Y89)="", "", IF(VLOOKUP(Y89,'Footnotes list'!$D$9:$E$58,2,FALSE)=0,"",VLOOKUP(Y89,'Footnotes list'!$D$9:$E$58,2,FALSE) ) )</f>
        <v/>
      </c>
      <c r="AA89" s="382" t="str">
        <f>IF(AND(TRIM(Q89)="",TRIM(V89)=""),"",Q89+V89)</f>
        <v/>
      </c>
      <c r="AB89" s="373"/>
      <c r="AC89" s="374"/>
      <c r="AD89" s="375"/>
      <c r="AE89" s="376" t="str">
        <f>IF(TRIM(AD89)="", "", IF(VLOOKUP(AD89,'Footnotes list'!$D$9:$E$58,2,FALSE)=0,"",VLOOKUP(AD89,'Footnotes list'!$D$9:$E$58,2,FALSE) ) )</f>
        <v/>
      </c>
      <c r="AF89" s="372"/>
      <c r="AG89" s="373"/>
      <c r="AH89" s="374"/>
      <c r="AI89" s="375"/>
      <c r="AJ89" s="376" t="str">
        <f>IF(TRIM(AI89)="", "", IF(VLOOKUP(AI89,'Footnotes list'!$D$9:$E$58,2,FALSE)=0,"",VLOOKUP(AI89,'Footnotes list'!$D$9:$E$58,2,FALSE) ) )</f>
        <v/>
      </c>
      <c r="AK89" s="372"/>
      <c r="AL89" s="373"/>
      <c r="AM89" s="374"/>
      <c r="AN89" s="375"/>
      <c r="AO89" s="376" t="str">
        <f>IF(TRIM(AN89)="", "", IF(VLOOKUP(AN89,'Footnotes list'!$D$9:$E$58,2,FALSE)=0,"",VLOOKUP(AN89,'Footnotes list'!$D$9:$E$58,2,FALSE) ) )</f>
        <v/>
      </c>
      <c r="AP89" s="382" t="str">
        <f>IF(AND(TRIM(AF89)="",TRIM(AK89)=""),"",AF89+AK89)</f>
        <v/>
      </c>
      <c r="AQ89" s="373"/>
      <c r="AR89" s="374"/>
      <c r="AS89" s="375"/>
      <c r="AT89" s="376" t="str">
        <f>IF(TRIM(AS89)="", "", IF(VLOOKUP(AS89,'Footnotes list'!$D$9:$E$58,2,FALSE)=0,"",VLOOKUP(AS89,'Footnotes list'!$D$9:$E$58,2,FALSE) ) )</f>
        <v/>
      </c>
      <c r="AU89" s="382" t="str">
        <f>IF(AND(TRIM(G89)="",TRIM(L89)="",TRIM(AA89)="",TRIM(AP89)=""),"",SUM(G89,L89,AA89,AP89))</f>
        <v/>
      </c>
      <c r="AV89" s="373"/>
      <c r="AW89" s="374"/>
      <c r="AX89" s="375"/>
      <c r="AY89" s="376" t="str">
        <f>IF(TRIM(AX89)="", "", IF(VLOOKUP(AX89,'Footnotes list'!$D$9:$E$58,2,FALSE)=0,"",VLOOKUP(AX89,'Footnotes list'!$D$9:$E$58,2,FALSE) ) )</f>
        <v/>
      </c>
    </row>
    <row r="90" spans="2:51" ht="15" customHeight="1" x14ac:dyDescent="0.35">
      <c r="B90" s="535"/>
      <c r="C90" s="50" t="s">
        <v>137</v>
      </c>
      <c r="D90" s="529"/>
      <c r="E90" s="51" t="s">
        <v>145</v>
      </c>
      <c r="F90" s="52" t="s">
        <v>152</v>
      </c>
      <c r="G90" s="378"/>
      <c r="H90" s="379"/>
      <c r="I90" s="380"/>
      <c r="J90" s="381"/>
      <c r="K90" s="377" t="str">
        <f>IF(TRIM(J90)="", "", IF(VLOOKUP(J90,'Footnotes list'!$D$9:$E$58,2,FALSE)=0,"",VLOOKUP(J90,'Footnotes list'!$D$9:$E$58,2,FALSE) ) )</f>
        <v/>
      </c>
      <c r="L90" s="378"/>
      <c r="M90" s="379"/>
      <c r="N90" s="380"/>
      <c r="O90" s="381"/>
      <c r="P90" s="377" t="str">
        <f>IF(TRIM(O90)="", "", IF(VLOOKUP(O90,'Footnotes list'!$D$9:$E$58,2,FALSE)=0,"",VLOOKUP(O90,'Footnotes list'!$D$9:$E$58,2,FALSE) ) )</f>
        <v/>
      </c>
      <c r="Q90" s="378"/>
      <c r="R90" s="379"/>
      <c r="S90" s="380"/>
      <c r="T90" s="381"/>
      <c r="U90" s="377" t="str">
        <f>IF(TRIM(T90)="", "", IF(VLOOKUP(T90,'Footnotes list'!$D$9:$E$58,2,FALSE)=0,"",VLOOKUP(T90,'Footnotes list'!$D$9:$E$58,2,FALSE) ) )</f>
        <v/>
      </c>
      <c r="V90" s="378"/>
      <c r="W90" s="379"/>
      <c r="X90" s="380"/>
      <c r="Y90" s="381"/>
      <c r="Z90" s="377" t="str">
        <f>IF(TRIM(Y90)="", "", IF(VLOOKUP(Y90,'Footnotes list'!$D$9:$E$58,2,FALSE)=0,"",VLOOKUP(Y90,'Footnotes list'!$D$9:$E$58,2,FALSE) ) )</f>
        <v/>
      </c>
      <c r="AA90" s="129" t="str">
        <f>IF(AND(TRIM(Q90)="",TRIM(V90)=""),"",Q90+V90)</f>
        <v/>
      </c>
      <c r="AB90" s="379"/>
      <c r="AC90" s="380"/>
      <c r="AD90" s="381"/>
      <c r="AE90" s="377" t="str">
        <f>IF(TRIM(AD90)="", "", IF(VLOOKUP(AD90,'Footnotes list'!$D$9:$E$58,2,FALSE)=0,"",VLOOKUP(AD90,'Footnotes list'!$D$9:$E$58,2,FALSE) ) )</f>
        <v/>
      </c>
      <c r="AF90" s="378"/>
      <c r="AG90" s="379"/>
      <c r="AH90" s="380"/>
      <c r="AI90" s="381"/>
      <c r="AJ90" s="377" t="str">
        <f>IF(TRIM(AI90)="", "", IF(VLOOKUP(AI90,'Footnotes list'!$D$9:$E$58,2,FALSE)=0,"",VLOOKUP(AI90,'Footnotes list'!$D$9:$E$58,2,FALSE) ) )</f>
        <v/>
      </c>
      <c r="AK90" s="378"/>
      <c r="AL90" s="379"/>
      <c r="AM90" s="380"/>
      <c r="AN90" s="381"/>
      <c r="AO90" s="377" t="str">
        <f>IF(TRIM(AN90)="", "", IF(VLOOKUP(AN90,'Footnotes list'!$D$9:$E$58,2,FALSE)=0,"",VLOOKUP(AN90,'Footnotes list'!$D$9:$E$58,2,FALSE) ) )</f>
        <v/>
      </c>
      <c r="AP90" s="129" t="str">
        <f>IF(AND(TRIM(AF90)="",TRIM(AK90)=""),"",AF90+AK90)</f>
        <v/>
      </c>
      <c r="AQ90" s="379"/>
      <c r="AR90" s="380"/>
      <c r="AS90" s="381"/>
      <c r="AT90" s="377" t="str">
        <f>IF(TRIM(AS90)="", "", IF(VLOOKUP(AS90,'Footnotes list'!$D$9:$E$58,2,FALSE)=0,"",VLOOKUP(AS90,'Footnotes list'!$D$9:$E$58,2,FALSE) ) )</f>
        <v/>
      </c>
      <c r="AU90" s="403" t="str">
        <f>IF(AND(TRIM(G90)="",TRIM(L90)="",TRIM(AA90)="",TRIM(AP90)=""),"",SUM(G90,L90,AA90,AP90))</f>
        <v/>
      </c>
      <c r="AV90" s="379"/>
      <c r="AW90" s="380"/>
      <c r="AX90" s="381"/>
      <c r="AY90" s="377" t="str">
        <f>IF(TRIM(AX90)="", "", IF(VLOOKUP(AX90,'Footnotes list'!$D$9:$E$58,2,FALSE)=0,"",VLOOKUP(AX90,'Footnotes list'!$D$9:$E$58,2,FALSE) ) )</f>
        <v/>
      </c>
    </row>
    <row r="91" spans="2:51" ht="15" customHeight="1" thickBot="1" x14ac:dyDescent="0.4">
      <c r="B91" s="536"/>
      <c r="C91" s="53" t="s">
        <v>137</v>
      </c>
      <c r="D91" s="530"/>
      <c r="E91" s="47" t="s">
        <v>146</v>
      </c>
      <c r="F91" s="54" t="s">
        <v>234</v>
      </c>
      <c r="G91" s="126" t="str">
        <f>IF(AND(TRIM(G89)="",TRIM(G90)=""),"",G89+G90)</f>
        <v/>
      </c>
      <c r="H91" s="379"/>
      <c r="I91" s="380"/>
      <c r="J91" s="381"/>
      <c r="K91" s="377" t="str">
        <f>IF(TRIM(J91)="", "", IF(VLOOKUP(J91,'Footnotes list'!$D$9:$E$58,2,FALSE)=0,"",VLOOKUP(J91,'Footnotes list'!$D$9:$E$58,2,FALSE) ) )</f>
        <v/>
      </c>
      <c r="L91" s="126" t="str">
        <f>IF(AND(TRIM(L89)="",TRIM(L90)=""),"",L89+L90)</f>
        <v/>
      </c>
      <c r="M91" s="379"/>
      <c r="N91" s="380"/>
      <c r="O91" s="381"/>
      <c r="P91" s="377" t="str">
        <f>IF(TRIM(O91)="", "", IF(VLOOKUP(O91,'Footnotes list'!$D$9:$E$58,2,FALSE)=0,"",VLOOKUP(O91,'Footnotes list'!$D$9:$E$58,2,FALSE) ) )</f>
        <v/>
      </c>
      <c r="Q91" s="126" t="str">
        <f>IF(AND(TRIM(Q89)="",TRIM(Q90)=""),"",Q89+Q90)</f>
        <v/>
      </c>
      <c r="R91" s="379"/>
      <c r="S91" s="380"/>
      <c r="T91" s="381"/>
      <c r="U91" s="377" t="str">
        <f>IF(TRIM(T91)="", "", IF(VLOOKUP(T91,'Footnotes list'!$D$9:$E$58,2,FALSE)=0,"",VLOOKUP(T91,'Footnotes list'!$D$9:$E$58,2,FALSE) ) )</f>
        <v/>
      </c>
      <c r="V91" s="126" t="str">
        <f>IF(AND(TRIM(V89)="",TRIM(V90)=""),"",V89+V90)</f>
        <v/>
      </c>
      <c r="W91" s="379"/>
      <c r="X91" s="380"/>
      <c r="Y91" s="381"/>
      <c r="Z91" s="377" t="str">
        <f>IF(TRIM(Y91)="", "", IF(VLOOKUP(Y91,'Footnotes list'!$D$9:$E$58,2,FALSE)=0,"",VLOOKUP(Y91,'Footnotes list'!$D$9:$E$58,2,FALSE) ) )</f>
        <v/>
      </c>
      <c r="AA91" s="126" t="str">
        <f>IF(AND(TRIM(AA89)="", TRIM(AA90)=""), "", SUM(AA89,AA90))</f>
        <v/>
      </c>
      <c r="AB91" s="379"/>
      <c r="AC91" s="380"/>
      <c r="AD91" s="381"/>
      <c r="AE91" s="377" t="str">
        <f>IF(TRIM(AD91)="", "", IF(VLOOKUP(AD91,'Footnotes list'!$D$9:$E$58,2,FALSE)=0,"",VLOOKUP(AD91,'Footnotes list'!$D$9:$E$58,2,FALSE) ) )</f>
        <v/>
      </c>
      <c r="AF91" s="126" t="str">
        <f>IF(AND(TRIM(AF89)="",TRIM(AF90)=""),"",AF89+AF90)</f>
        <v/>
      </c>
      <c r="AG91" s="379"/>
      <c r="AH91" s="380"/>
      <c r="AI91" s="381"/>
      <c r="AJ91" s="377" t="str">
        <f>IF(TRIM(AI91)="", "", IF(VLOOKUP(AI91,'Footnotes list'!$D$9:$E$58,2,FALSE)=0,"",VLOOKUP(AI91,'Footnotes list'!$D$9:$E$58,2,FALSE) ) )</f>
        <v/>
      </c>
      <c r="AK91" s="126" t="str">
        <f>IF(AND(TRIM(AK89)="",TRIM(AK90)=""),"",AK89+AK90)</f>
        <v/>
      </c>
      <c r="AL91" s="379"/>
      <c r="AM91" s="380"/>
      <c r="AN91" s="381"/>
      <c r="AO91" s="377" t="str">
        <f>IF(TRIM(AN91)="", "", IF(VLOOKUP(AN91,'Footnotes list'!$D$9:$E$58,2,FALSE)=0,"",VLOOKUP(AN91,'Footnotes list'!$D$9:$E$58,2,FALSE) ) )</f>
        <v/>
      </c>
      <c r="AP91" s="126" t="str">
        <f>IF(AND(TRIM(AP89)="", TRIM(AP90)=""), "", SUM(AP89,AP90))</f>
        <v/>
      </c>
      <c r="AQ91" s="379"/>
      <c r="AR91" s="380"/>
      <c r="AS91" s="381"/>
      <c r="AT91" s="377" t="str">
        <f>IF(TRIM(AS91)="", "", IF(VLOOKUP(AS91,'Footnotes list'!$D$9:$E$58,2,FALSE)=0,"",VLOOKUP(AS91,'Footnotes list'!$D$9:$E$58,2,FALSE) ) )</f>
        <v/>
      </c>
      <c r="AU91" s="126" t="str">
        <f>IF(AND(TRIM(AU89)="", TRIM(AU90)=""), "", SUM(AU89,AU90) )</f>
        <v/>
      </c>
      <c r="AV91" s="379"/>
      <c r="AW91" s="380"/>
      <c r="AX91" s="381"/>
      <c r="AY91" s="377" t="str">
        <f>IF(TRIM(AX91)="", "", IF(VLOOKUP(AX91,'Footnotes list'!$D$9:$E$58,2,FALSE)=0,"",VLOOKUP(AX91,'Footnotes list'!$D$9:$E$58,2,FALSE) ) )</f>
        <v/>
      </c>
    </row>
    <row r="92" spans="2:51" ht="15" customHeight="1" x14ac:dyDescent="0.35">
      <c r="B92" s="534" t="s">
        <v>138</v>
      </c>
      <c r="C92" s="41" t="s">
        <v>138</v>
      </c>
      <c r="D92" s="528" t="s">
        <v>161</v>
      </c>
      <c r="E92" s="42" t="s">
        <v>144</v>
      </c>
      <c r="F92" s="43" t="s">
        <v>151</v>
      </c>
      <c r="G92" s="372"/>
      <c r="H92" s="373"/>
      <c r="I92" s="374"/>
      <c r="J92" s="375"/>
      <c r="K92" s="376" t="str">
        <f>IF(TRIM(J92)="", "", IF(VLOOKUP(J92,'Footnotes list'!$D$9:$E$58,2,FALSE)=0,"",VLOOKUP(J92,'Footnotes list'!$D$9:$E$58,2,FALSE) ) )</f>
        <v/>
      </c>
      <c r="L92" s="372"/>
      <c r="M92" s="373"/>
      <c r="N92" s="374"/>
      <c r="O92" s="375"/>
      <c r="P92" s="376" t="str">
        <f>IF(TRIM(O92)="", "", IF(VLOOKUP(O92,'Footnotes list'!$D$9:$E$58,2,FALSE)=0,"",VLOOKUP(O92,'Footnotes list'!$D$9:$E$58,2,FALSE) ) )</f>
        <v/>
      </c>
      <c r="Q92" s="372"/>
      <c r="R92" s="373"/>
      <c r="S92" s="374"/>
      <c r="T92" s="375"/>
      <c r="U92" s="376" t="str">
        <f>IF(TRIM(T92)="", "", IF(VLOOKUP(T92,'Footnotes list'!$D$9:$E$58,2,FALSE)=0,"",VLOOKUP(T92,'Footnotes list'!$D$9:$E$58,2,FALSE) ) )</f>
        <v/>
      </c>
      <c r="V92" s="372"/>
      <c r="W92" s="373"/>
      <c r="X92" s="374"/>
      <c r="Y92" s="375"/>
      <c r="Z92" s="376" t="str">
        <f>IF(TRIM(Y92)="", "", IF(VLOOKUP(Y92,'Footnotes list'!$D$9:$E$58,2,FALSE)=0,"",VLOOKUP(Y92,'Footnotes list'!$D$9:$E$58,2,FALSE) ) )</f>
        <v/>
      </c>
      <c r="AA92" s="382" t="str">
        <f>IF(AND(TRIM(Q92)="",TRIM(V92)=""),"",Q92+V92)</f>
        <v/>
      </c>
      <c r="AB92" s="373"/>
      <c r="AC92" s="374"/>
      <c r="AD92" s="375"/>
      <c r="AE92" s="376" t="str">
        <f>IF(TRIM(AD92)="", "", IF(VLOOKUP(AD92,'Footnotes list'!$D$9:$E$58,2,FALSE)=0,"",VLOOKUP(AD92,'Footnotes list'!$D$9:$E$58,2,FALSE) ) )</f>
        <v/>
      </c>
      <c r="AF92" s="372"/>
      <c r="AG92" s="373"/>
      <c r="AH92" s="374"/>
      <c r="AI92" s="375"/>
      <c r="AJ92" s="376" t="str">
        <f>IF(TRIM(AI92)="", "", IF(VLOOKUP(AI92,'Footnotes list'!$D$9:$E$58,2,FALSE)=0,"",VLOOKUP(AI92,'Footnotes list'!$D$9:$E$58,2,FALSE) ) )</f>
        <v/>
      </c>
      <c r="AK92" s="372"/>
      <c r="AL92" s="373"/>
      <c r="AM92" s="374"/>
      <c r="AN92" s="375"/>
      <c r="AO92" s="376" t="str">
        <f>IF(TRIM(AN92)="", "", IF(VLOOKUP(AN92,'Footnotes list'!$D$9:$E$58,2,FALSE)=0,"",VLOOKUP(AN92,'Footnotes list'!$D$9:$E$58,2,FALSE) ) )</f>
        <v/>
      </c>
      <c r="AP92" s="382" t="str">
        <f>IF(AND(TRIM(AF92)="",TRIM(AK92)=""),"",AF92+AK92)</f>
        <v/>
      </c>
      <c r="AQ92" s="373"/>
      <c r="AR92" s="374"/>
      <c r="AS92" s="375"/>
      <c r="AT92" s="376" t="str">
        <f>IF(TRIM(AS92)="", "", IF(VLOOKUP(AS92,'Footnotes list'!$D$9:$E$58,2,FALSE)=0,"",VLOOKUP(AS92,'Footnotes list'!$D$9:$E$58,2,FALSE) ) )</f>
        <v/>
      </c>
      <c r="AU92" s="382" t="str">
        <f>IF(AND(TRIM(G92)="",TRIM(L92)="",TRIM(AA92)="",TRIM(AP92)=""),"",SUM(G92,L92,AA92,AP92))</f>
        <v/>
      </c>
      <c r="AV92" s="373"/>
      <c r="AW92" s="374"/>
      <c r="AX92" s="375"/>
      <c r="AY92" s="376" t="str">
        <f>IF(TRIM(AX92)="", "", IF(VLOOKUP(AX92,'Footnotes list'!$D$9:$E$58,2,FALSE)=0,"",VLOOKUP(AX92,'Footnotes list'!$D$9:$E$58,2,FALSE) ) )</f>
        <v/>
      </c>
    </row>
    <row r="93" spans="2:51" ht="15" customHeight="1" x14ac:dyDescent="0.35">
      <c r="B93" s="535"/>
      <c r="C93" s="50" t="s">
        <v>138</v>
      </c>
      <c r="D93" s="529"/>
      <c r="E93" s="51" t="s">
        <v>145</v>
      </c>
      <c r="F93" s="52" t="s">
        <v>152</v>
      </c>
      <c r="G93" s="378"/>
      <c r="H93" s="379"/>
      <c r="I93" s="380"/>
      <c r="J93" s="381"/>
      <c r="K93" s="377" t="str">
        <f>IF(TRIM(J93)="", "", IF(VLOOKUP(J93,'Footnotes list'!$D$9:$E$58,2,FALSE)=0,"",VLOOKUP(J93,'Footnotes list'!$D$9:$E$58,2,FALSE) ) )</f>
        <v/>
      </c>
      <c r="L93" s="378"/>
      <c r="M93" s="379"/>
      <c r="N93" s="380"/>
      <c r="O93" s="381"/>
      <c r="P93" s="377" t="str">
        <f>IF(TRIM(O93)="", "", IF(VLOOKUP(O93,'Footnotes list'!$D$9:$E$58,2,FALSE)=0,"",VLOOKUP(O93,'Footnotes list'!$D$9:$E$58,2,FALSE) ) )</f>
        <v/>
      </c>
      <c r="Q93" s="378"/>
      <c r="R93" s="379"/>
      <c r="S93" s="380"/>
      <c r="T93" s="381"/>
      <c r="U93" s="377" t="str">
        <f>IF(TRIM(T93)="", "", IF(VLOOKUP(T93,'Footnotes list'!$D$9:$E$58,2,FALSE)=0,"",VLOOKUP(T93,'Footnotes list'!$D$9:$E$58,2,FALSE) ) )</f>
        <v/>
      </c>
      <c r="V93" s="378"/>
      <c r="W93" s="379"/>
      <c r="X93" s="380"/>
      <c r="Y93" s="381"/>
      <c r="Z93" s="377" t="str">
        <f>IF(TRIM(Y93)="", "", IF(VLOOKUP(Y93,'Footnotes list'!$D$9:$E$58,2,FALSE)=0,"",VLOOKUP(Y93,'Footnotes list'!$D$9:$E$58,2,FALSE) ) )</f>
        <v/>
      </c>
      <c r="AA93" s="129" t="str">
        <f>IF(AND(TRIM(Q93)="",TRIM(V93)=""),"",Q93+V93)</f>
        <v/>
      </c>
      <c r="AB93" s="379"/>
      <c r="AC93" s="380"/>
      <c r="AD93" s="381"/>
      <c r="AE93" s="377" t="str">
        <f>IF(TRIM(AD93)="", "", IF(VLOOKUP(AD93,'Footnotes list'!$D$9:$E$58,2,FALSE)=0,"",VLOOKUP(AD93,'Footnotes list'!$D$9:$E$58,2,FALSE) ) )</f>
        <v/>
      </c>
      <c r="AF93" s="378"/>
      <c r="AG93" s="379"/>
      <c r="AH93" s="380"/>
      <c r="AI93" s="381"/>
      <c r="AJ93" s="377" t="str">
        <f>IF(TRIM(AI93)="", "", IF(VLOOKUP(AI93,'Footnotes list'!$D$9:$E$58,2,FALSE)=0,"",VLOOKUP(AI93,'Footnotes list'!$D$9:$E$58,2,FALSE) ) )</f>
        <v/>
      </c>
      <c r="AK93" s="378"/>
      <c r="AL93" s="379"/>
      <c r="AM93" s="380"/>
      <c r="AN93" s="381"/>
      <c r="AO93" s="377" t="str">
        <f>IF(TRIM(AN93)="", "", IF(VLOOKUP(AN93,'Footnotes list'!$D$9:$E$58,2,FALSE)=0,"",VLOOKUP(AN93,'Footnotes list'!$D$9:$E$58,2,FALSE) ) )</f>
        <v/>
      </c>
      <c r="AP93" s="129" t="str">
        <f>IF(AND(TRIM(AF93)="",TRIM(AK93)=""),"",AF93+AK93)</f>
        <v/>
      </c>
      <c r="AQ93" s="379"/>
      <c r="AR93" s="380"/>
      <c r="AS93" s="381"/>
      <c r="AT93" s="377" t="str">
        <f>IF(TRIM(AS93)="", "", IF(VLOOKUP(AS93,'Footnotes list'!$D$9:$E$58,2,FALSE)=0,"",VLOOKUP(AS93,'Footnotes list'!$D$9:$E$58,2,FALSE) ) )</f>
        <v/>
      </c>
      <c r="AU93" s="403" t="str">
        <f>IF(AND(TRIM(G93)="",TRIM(L93)="",TRIM(AA93)="",TRIM(AP93)=""),"",SUM(G93,L93,AA93,AP93))</f>
        <v/>
      </c>
      <c r="AV93" s="379"/>
      <c r="AW93" s="380"/>
      <c r="AX93" s="381"/>
      <c r="AY93" s="377" t="str">
        <f>IF(TRIM(AX93)="", "", IF(VLOOKUP(AX93,'Footnotes list'!$D$9:$E$58,2,FALSE)=0,"",VLOOKUP(AX93,'Footnotes list'!$D$9:$E$58,2,FALSE) ) )</f>
        <v/>
      </c>
    </row>
    <row r="94" spans="2:51" ht="15" customHeight="1" thickBot="1" x14ac:dyDescent="0.4">
      <c r="B94" s="536"/>
      <c r="C94" s="53" t="s">
        <v>138</v>
      </c>
      <c r="D94" s="530"/>
      <c r="E94" s="47" t="s">
        <v>146</v>
      </c>
      <c r="F94" s="54" t="s">
        <v>234</v>
      </c>
      <c r="G94" s="126" t="str">
        <f>IF(AND(TRIM(G92)="",TRIM(G93)=""),"",G92+G93)</f>
        <v/>
      </c>
      <c r="H94" s="379"/>
      <c r="I94" s="380"/>
      <c r="J94" s="381"/>
      <c r="K94" s="377" t="str">
        <f>IF(TRIM(J94)="", "", IF(VLOOKUP(J94,'Footnotes list'!$D$9:$E$58,2,FALSE)=0,"",VLOOKUP(J94,'Footnotes list'!$D$9:$E$58,2,FALSE) ) )</f>
        <v/>
      </c>
      <c r="L94" s="126" t="str">
        <f>IF(AND(TRIM(L92)="",TRIM(L93)=""),"",L92+L93)</f>
        <v/>
      </c>
      <c r="M94" s="379"/>
      <c r="N94" s="380"/>
      <c r="O94" s="381"/>
      <c r="P94" s="377" t="str">
        <f>IF(TRIM(O94)="", "", IF(VLOOKUP(O94,'Footnotes list'!$D$9:$E$58,2,FALSE)=0,"",VLOOKUP(O94,'Footnotes list'!$D$9:$E$58,2,FALSE) ) )</f>
        <v/>
      </c>
      <c r="Q94" s="126" t="str">
        <f>IF(AND(TRIM(Q92)="",TRIM(Q93)=""),"",Q92+Q93)</f>
        <v/>
      </c>
      <c r="R94" s="379"/>
      <c r="S94" s="380"/>
      <c r="T94" s="381"/>
      <c r="U94" s="377" t="str">
        <f>IF(TRIM(T94)="", "", IF(VLOOKUP(T94,'Footnotes list'!$D$9:$E$58,2,FALSE)=0,"",VLOOKUP(T94,'Footnotes list'!$D$9:$E$58,2,FALSE) ) )</f>
        <v/>
      </c>
      <c r="V94" s="126" t="str">
        <f>IF(AND(TRIM(V92)="",TRIM(V93)=""),"",V92+V93)</f>
        <v/>
      </c>
      <c r="W94" s="379"/>
      <c r="X94" s="380"/>
      <c r="Y94" s="381"/>
      <c r="Z94" s="377" t="str">
        <f>IF(TRIM(Y94)="", "", IF(VLOOKUP(Y94,'Footnotes list'!$D$9:$E$58,2,FALSE)=0,"",VLOOKUP(Y94,'Footnotes list'!$D$9:$E$58,2,FALSE) ) )</f>
        <v/>
      </c>
      <c r="AA94" s="126" t="str">
        <f>IF(AND(TRIM(AA92)="", TRIM(AA93)=""), "", SUM(AA92,AA93))</f>
        <v/>
      </c>
      <c r="AB94" s="379"/>
      <c r="AC94" s="380"/>
      <c r="AD94" s="381"/>
      <c r="AE94" s="377" t="str">
        <f>IF(TRIM(AD94)="", "", IF(VLOOKUP(AD94,'Footnotes list'!$D$9:$E$58,2,FALSE)=0,"",VLOOKUP(AD94,'Footnotes list'!$D$9:$E$58,2,FALSE) ) )</f>
        <v/>
      </c>
      <c r="AF94" s="126" t="str">
        <f>IF(AND(TRIM(AF92)="",TRIM(AF93)=""),"",AF92+AF93)</f>
        <v/>
      </c>
      <c r="AG94" s="379"/>
      <c r="AH94" s="380"/>
      <c r="AI94" s="381"/>
      <c r="AJ94" s="377" t="str">
        <f>IF(TRIM(AI94)="", "", IF(VLOOKUP(AI94,'Footnotes list'!$D$9:$E$58,2,FALSE)=0,"",VLOOKUP(AI94,'Footnotes list'!$D$9:$E$58,2,FALSE) ) )</f>
        <v/>
      </c>
      <c r="AK94" s="126" t="str">
        <f>IF(AND(TRIM(AK92)="",TRIM(AK93)=""),"",AK92+AK93)</f>
        <v/>
      </c>
      <c r="AL94" s="379"/>
      <c r="AM94" s="380"/>
      <c r="AN94" s="381"/>
      <c r="AO94" s="377" t="str">
        <f>IF(TRIM(AN94)="", "", IF(VLOOKUP(AN94,'Footnotes list'!$D$9:$E$58,2,FALSE)=0,"",VLOOKUP(AN94,'Footnotes list'!$D$9:$E$58,2,FALSE) ) )</f>
        <v/>
      </c>
      <c r="AP94" s="126" t="str">
        <f>IF(AND(TRIM(AP92)="", TRIM(AP93)=""), "", SUM(AP92,AP93))</f>
        <v/>
      </c>
      <c r="AQ94" s="379"/>
      <c r="AR94" s="380"/>
      <c r="AS94" s="381"/>
      <c r="AT94" s="377" t="str">
        <f>IF(TRIM(AS94)="", "", IF(VLOOKUP(AS94,'Footnotes list'!$D$9:$E$58,2,FALSE)=0,"",VLOOKUP(AS94,'Footnotes list'!$D$9:$E$58,2,FALSE) ) )</f>
        <v/>
      </c>
      <c r="AU94" s="126" t="str">
        <f>IF(AND(TRIM(AU92)="", TRIM(AU93)=""), "", SUM(AU92,AU93) )</f>
        <v/>
      </c>
      <c r="AV94" s="379"/>
      <c r="AW94" s="380"/>
      <c r="AX94" s="381"/>
      <c r="AY94" s="377" t="str">
        <f>IF(TRIM(AX94)="", "", IF(VLOOKUP(AX94,'Footnotes list'!$D$9:$E$58,2,FALSE)=0,"",VLOOKUP(AX94,'Footnotes list'!$D$9:$E$58,2,FALSE) ) )</f>
        <v/>
      </c>
    </row>
    <row r="95" spans="2:51" ht="15" customHeight="1" x14ac:dyDescent="0.35">
      <c r="B95" s="534" t="s">
        <v>139</v>
      </c>
      <c r="C95" s="41" t="s">
        <v>139</v>
      </c>
      <c r="D95" s="528" t="s">
        <v>102</v>
      </c>
      <c r="E95" s="42" t="s">
        <v>144</v>
      </c>
      <c r="F95" s="43" t="s">
        <v>151</v>
      </c>
      <c r="G95" s="372"/>
      <c r="H95" s="373"/>
      <c r="I95" s="374"/>
      <c r="J95" s="375"/>
      <c r="K95" s="376" t="str">
        <f>IF(TRIM(J95)="", "", IF(VLOOKUP(J95,'Footnotes list'!$D$9:$E$58,2,FALSE)=0,"",VLOOKUP(J95,'Footnotes list'!$D$9:$E$58,2,FALSE) ) )</f>
        <v/>
      </c>
      <c r="L95" s="372"/>
      <c r="M95" s="373"/>
      <c r="N95" s="374"/>
      <c r="O95" s="375"/>
      <c r="P95" s="376" t="str">
        <f>IF(TRIM(O95)="", "", IF(VLOOKUP(O95,'Footnotes list'!$D$9:$E$58,2,FALSE)=0,"",VLOOKUP(O95,'Footnotes list'!$D$9:$E$58,2,FALSE) ) )</f>
        <v/>
      </c>
      <c r="Q95" s="372"/>
      <c r="R95" s="373"/>
      <c r="S95" s="374"/>
      <c r="T95" s="375"/>
      <c r="U95" s="376" t="str">
        <f>IF(TRIM(T95)="", "", IF(VLOOKUP(T95,'Footnotes list'!$D$9:$E$58,2,FALSE)=0,"",VLOOKUP(T95,'Footnotes list'!$D$9:$E$58,2,FALSE) ) )</f>
        <v/>
      </c>
      <c r="V95" s="372"/>
      <c r="W95" s="373"/>
      <c r="X95" s="374"/>
      <c r="Y95" s="375"/>
      <c r="Z95" s="376" t="str">
        <f>IF(TRIM(Y95)="", "", IF(VLOOKUP(Y95,'Footnotes list'!$D$9:$E$58,2,FALSE)=0,"",VLOOKUP(Y95,'Footnotes list'!$D$9:$E$58,2,FALSE) ) )</f>
        <v/>
      </c>
      <c r="AA95" s="382" t="str">
        <f>IF(AND(TRIM(Q95)="",TRIM(V95)=""),"",Q95+V95)</f>
        <v/>
      </c>
      <c r="AB95" s="373"/>
      <c r="AC95" s="374"/>
      <c r="AD95" s="375"/>
      <c r="AE95" s="376" t="str">
        <f>IF(TRIM(AD95)="", "", IF(VLOOKUP(AD95,'Footnotes list'!$D$9:$E$58,2,FALSE)=0,"",VLOOKUP(AD95,'Footnotes list'!$D$9:$E$58,2,FALSE) ) )</f>
        <v/>
      </c>
      <c r="AF95" s="372"/>
      <c r="AG95" s="373"/>
      <c r="AH95" s="374"/>
      <c r="AI95" s="375"/>
      <c r="AJ95" s="376" t="str">
        <f>IF(TRIM(AI95)="", "", IF(VLOOKUP(AI95,'Footnotes list'!$D$9:$E$58,2,FALSE)=0,"",VLOOKUP(AI95,'Footnotes list'!$D$9:$E$58,2,FALSE) ) )</f>
        <v/>
      </c>
      <c r="AK95" s="372"/>
      <c r="AL95" s="373"/>
      <c r="AM95" s="374"/>
      <c r="AN95" s="375"/>
      <c r="AO95" s="376" t="str">
        <f>IF(TRIM(AN95)="", "", IF(VLOOKUP(AN95,'Footnotes list'!$D$9:$E$58,2,FALSE)=0,"",VLOOKUP(AN95,'Footnotes list'!$D$9:$E$58,2,FALSE) ) )</f>
        <v/>
      </c>
      <c r="AP95" s="382" t="str">
        <f>IF(AND(TRIM(AF95)="",TRIM(AK95)=""),"",AF95+AK95)</f>
        <v/>
      </c>
      <c r="AQ95" s="373"/>
      <c r="AR95" s="374"/>
      <c r="AS95" s="375"/>
      <c r="AT95" s="376" t="str">
        <f>IF(TRIM(AS95)="", "", IF(VLOOKUP(AS95,'Footnotes list'!$D$9:$E$58,2,FALSE)=0,"",VLOOKUP(AS95,'Footnotes list'!$D$9:$E$58,2,FALSE) ) )</f>
        <v/>
      </c>
      <c r="AU95" s="382" t="str">
        <f>IF(AND(TRIM(G95)="",TRIM(L95)="",TRIM(AA95)="",TRIM(AP95)=""),"",SUM(G95,L95,AA95,AP95))</f>
        <v/>
      </c>
      <c r="AV95" s="373"/>
      <c r="AW95" s="374"/>
      <c r="AX95" s="375"/>
      <c r="AY95" s="376" t="str">
        <f>IF(TRIM(AX95)="", "", IF(VLOOKUP(AX95,'Footnotes list'!$D$9:$E$58,2,FALSE)=0,"",VLOOKUP(AX95,'Footnotes list'!$D$9:$E$58,2,FALSE) ) )</f>
        <v/>
      </c>
    </row>
    <row r="96" spans="2:51" ht="15" customHeight="1" x14ac:dyDescent="0.35">
      <c r="B96" s="535"/>
      <c r="C96" s="50" t="s">
        <v>139</v>
      </c>
      <c r="D96" s="529"/>
      <c r="E96" s="51" t="s">
        <v>145</v>
      </c>
      <c r="F96" s="52" t="s">
        <v>152</v>
      </c>
      <c r="G96" s="378"/>
      <c r="H96" s="379"/>
      <c r="I96" s="380"/>
      <c r="J96" s="381"/>
      <c r="K96" s="377" t="str">
        <f>IF(TRIM(J96)="", "", IF(VLOOKUP(J96,'Footnotes list'!$D$9:$E$58,2,FALSE)=0,"",VLOOKUP(J96,'Footnotes list'!$D$9:$E$58,2,FALSE) ) )</f>
        <v/>
      </c>
      <c r="L96" s="378"/>
      <c r="M96" s="379"/>
      <c r="N96" s="380"/>
      <c r="O96" s="381"/>
      <c r="P96" s="377" t="str">
        <f>IF(TRIM(O96)="", "", IF(VLOOKUP(O96,'Footnotes list'!$D$9:$E$58,2,FALSE)=0,"",VLOOKUP(O96,'Footnotes list'!$D$9:$E$58,2,FALSE) ) )</f>
        <v/>
      </c>
      <c r="Q96" s="378"/>
      <c r="R96" s="379"/>
      <c r="S96" s="380"/>
      <c r="T96" s="381"/>
      <c r="U96" s="377" t="str">
        <f>IF(TRIM(T96)="", "", IF(VLOOKUP(T96,'Footnotes list'!$D$9:$E$58,2,FALSE)=0,"",VLOOKUP(T96,'Footnotes list'!$D$9:$E$58,2,FALSE) ) )</f>
        <v/>
      </c>
      <c r="V96" s="378"/>
      <c r="W96" s="379"/>
      <c r="X96" s="380"/>
      <c r="Y96" s="381"/>
      <c r="Z96" s="377" t="str">
        <f>IF(TRIM(Y96)="", "", IF(VLOOKUP(Y96,'Footnotes list'!$D$9:$E$58,2,FALSE)=0,"",VLOOKUP(Y96,'Footnotes list'!$D$9:$E$58,2,FALSE) ) )</f>
        <v/>
      </c>
      <c r="AA96" s="129" t="str">
        <f>IF(AND(TRIM(Q96)="",TRIM(V96)=""),"",Q96+V96)</f>
        <v/>
      </c>
      <c r="AB96" s="379"/>
      <c r="AC96" s="380"/>
      <c r="AD96" s="381"/>
      <c r="AE96" s="377" t="str">
        <f>IF(TRIM(AD96)="", "", IF(VLOOKUP(AD96,'Footnotes list'!$D$9:$E$58,2,FALSE)=0,"",VLOOKUP(AD96,'Footnotes list'!$D$9:$E$58,2,FALSE) ) )</f>
        <v/>
      </c>
      <c r="AF96" s="378"/>
      <c r="AG96" s="379"/>
      <c r="AH96" s="380"/>
      <c r="AI96" s="381"/>
      <c r="AJ96" s="377" t="str">
        <f>IF(TRIM(AI96)="", "", IF(VLOOKUP(AI96,'Footnotes list'!$D$9:$E$58,2,FALSE)=0,"",VLOOKUP(AI96,'Footnotes list'!$D$9:$E$58,2,FALSE) ) )</f>
        <v/>
      </c>
      <c r="AK96" s="378"/>
      <c r="AL96" s="379"/>
      <c r="AM96" s="380"/>
      <c r="AN96" s="381"/>
      <c r="AO96" s="377" t="str">
        <f>IF(TRIM(AN96)="", "", IF(VLOOKUP(AN96,'Footnotes list'!$D$9:$E$58,2,FALSE)=0,"",VLOOKUP(AN96,'Footnotes list'!$D$9:$E$58,2,FALSE) ) )</f>
        <v/>
      </c>
      <c r="AP96" s="129" t="str">
        <f>IF(AND(TRIM(AF96)="",TRIM(AK96)=""),"",AF96+AK96)</f>
        <v/>
      </c>
      <c r="AQ96" s="379"/>
      <c r="AR96" s="380"/>
      <c r="AS96" s="381"/>
      <c r="AT96" s="377" t="str">
        <f>IF(TRIM(AS96)="", "", IF(VLOOKUP(AS96,'Footnotes list'!$D$9:$E$58,2,FALSE)=0,"",VLOOKUP(AS96,'Footnotes list'!$D$9:$E$58,2,FALSE) ) )</f>
        <v/>
      </c>
      <c r="AU96" s="403" t="str">
        <f>IF(AND(TRIM(G96)="",TRIM(L96)="",TRIM(AA96)="",TRIM(AP96)=""),"",SUM(G96,L96,AA96,AP96))</f>
        <v/>
      </c>
      <c r="AV96" s="379"/>
      <c r="AW96" s="380"/>
      <c r="AX96" s="381"/>
      <c r="AY96" s="377" t="str">
        <f>IF(TRIM(AX96)="", "", IF(VLOOKUP(AX96,'Footnotes list'!$D$9:$E$58,2,FALSE)=0,"",VLOOKUP(AX96,'Footnotes list'!$D$9:$E$58,2,FALSE) ) )</f>
        <v/>
      </c>
    </row>
    <row r="97" spans="2:51" ht="15" customHeight="1" thickBot="1" x14ac:dyDescent="0.4">
      <c r="B97" s="536"/>
      <c r="C97" s="53" t="s">
        <v>139</v>
      </c>
      <c r="D97" s="530"/>
      <c r="E97" s="47" t="s">
        <v>146</v>
      </c>
      <c r="F97" s="54" t="s">
        <v>234</v>
      </c>
      <c r="G97" s="126" t="str">
        <f>IF(AND(TRIM(G95)="",TRIM(G96)=""),"",G95+G96)</f>
        <v/>
      </c>
      <c r="H97" s="379"/>
      <c r="I97" s="380"/>
      <c r="J97" s="381"/>
      <c r="K97" s="377" t="str">
        <f>IF(TRIM(J97)="", "", IF(VLOOKUP(J97,'Footnotes list'!$D$9:$E$58,2,FALSE)=0,"",VLOOKUP(J97,'Footnotes list'!$D$9:$E$58,2,FALSE) ) )</f>
        <v/>
      </c>
      <c r="L97" s="126" t="str">
        <f>IF(AND(TRIM(L95)="",TRIM(L96)=""),"",L95+L96)</f>
        <v/>
      </c>
      <c r="M97" s="379"/>
      <c r="N97" s="380"/>
      <c r="O97" s="381"/>
      <c r="P97" s="377" t="str">
        <f>IF(TRIM(O97)="", "", IF(VLOOKUP(O97,'Footnotes list'!$D$9:$E$58,2,FALSE)=0,"",VLOOKUP(O97,'Footnotes list'!$D$9:$E$58,2,FALSE) ) )</f>
        <v/>
      </c>
      <c r="Q97" s="126" t="str">
        <f>IF(AND(TRIM(Q95)="",TRIM(Q96)=""),"",Q95+Q96)</f>
        <v/>
      </c>
      <c r="R97" s="379"/>
      <c r="S97" s="380"/>
      <c r="T97" s="381"/>
      <c r="U97" s="377" t="str">
        <f>IF(TRIM(T97)="", "", IF(VLOOKUP(T97,'Footnotes list'!$D$9:$E$58,2,FALSE)=0,"",VLOOKUP(T97,'Footnotes list'!$D$9:$E$58,2,FALSE) ) )</f>
        <v/>
      </c>
      <c r="V97" s="126" t="str">
        <f>IF(AND(TRIM(V95)="",TRIM(V96)=""),"",V95+V96)</f>
        <v/>
      </c>
      <c r="W97" s="379"/>
      <c r="X97" s="380"/>
      <c r="Y97" s="381"/>
      <c r="Z97" s="377" t="str">
        <f>IF(TRIM(Y97)="", "", IF(VLOOKUP(Y97,'Footnotes list'!$D$9:$E$58,2,FALSE)=0,"",VLOOKUP(Y97,'Footnotes list'!$D$9:$E$58,2,FALSE) ) )</f>
        <v/>
      </c>
      <c r="AA97" s="126" t="str">
        <f>IF(AND(TRIM(AA95)="", TRIM(AA96)=""), "", SUM(AA95,AA96))</f>
        <v/>
      </c>
      <c r="AB97" s="379"/>
      <c r="AC97" s="380"/>
      <c r="AD97" s="381"/>
      <c r="AE97" s="377" t="str">
        <f>IF(TRIM(AD97)="", "", IF(VLOOKUP(AD97,'Footnotes list'!$D$9:$E$58,2,FALSE)=0,"",VLOOKUP(AD97,'Footnotes list'!$D$9:$E$58,2,FALSE) ) )</f>
        <v/>
      </c>
      <c r="AF97" s="126" t="str">
        <f>IF(AND(TRIM(AF95)="",TRIM(AF96)=""),"",AF95+AF96)</f>
        <v/>
      </c>
      <c r="AG97" s="379"/>
      <c r="AH97" s="380"/>
      <c r="AI97" s="381"/>
      <c r="AJ97" s="377" t="str">
        <f>IF(TRIM(AI97)="", "", IF(VLOOKUP(AI97,'Footnotes list'!$D$9:$E$58,2,FALSE)=0,"",VLOOKUP(AI97,'Footnotes list'!$D$9:$E$58,2,FALSE) ) )</f>
        <v/>
      </c>
      <c r="AK97" s="126" t="str">
        <f>IF(AND(TRIM(AK95)="",TRIM(AK96)=""),"",AK95+AK96)</f>
        <v/>
      </c>
      <c r="AL97" s="379"/>
      <c r="AM97" s="380"/>
      <c r="AN97" s="381"/>
      <c r="AO97" s="377" t="str">
        <f>IF(TRIM(AN97)="", "", IF(VLOOKUP(AN97,'Footnotes list'!$D$9:$E$58,2,FALSE)=0,"",VLOOKUP(AN97,'Footnotes list'!$D$9:$E$58,2,FALSE) ) )</f>
        <v/>
      </c>
      <c r="AP97" s="126" t="str">
        <f>IF(AND(TRIM(AP95)="", TRIM(AP96)=""), "", SUM(AP95,AP96))</f>
        <v/>
      </c>
      <c r="AQ97" s="379"/>
      <c r="AR97" s="380"/>
      <c r="AS97" s="381"/>
      <c r="AT97" s="377" t="str">
        <f>IF(TRIM(AS97)="", "", IF(VLOOKUP(AS97,'Footnotes list'!$D$9:$E$58,2,FALSE)=0,"",VLOOKUP(AS97,'Footnotes list'!$D$9:$E$58,2,FALSE) ) )</f>
        <v/>
      </c>
      <c r="AU97" s="126" t="str">
        <f>IF(AND(TRIM(AU95)="", TRIM(AU96)=""), "", SUM(AU95,AU96) )</f>
        <v/>
      </c>
      <c r="AV97" s="379"/>
      <c r="AW97" s="380"/>
      <c r="AX97" s="381"/>
      <c r="AY97" s="377" t="str">
        <f>IF(TRIM(AX97)="", "", IF(VLOOKUP(AX97,'Footnotes list'!$D$9:$E$58,2,FALSE)=0,"",VLOOKUP(AX97,'Footnotes list'!$D$9:$E$58,2,FALSE) ) )</f>
        <v/>
      </c>
    </row>
    <row r="98" spans="2:51" ht="15" customHeight="1" x14ac:dyDescent="0.35">
      <c r="B98" s="534" t="s">
        <v>140</v>
      </c>
      <c r="C98" s="41" t="s">
        <v>140</v>
      </c>
      <c r="D98" s="528" t="s">
        <v>103</v>
      </c>
      <c r="E98" s="42" t="s">
        <v>144</v>
      </c>
      <c r="F98" s="43" t="s">
        <v>151</v>
      </c>
      <c r="G98" s="372"/>
      <c r="H98" s="373"/>
      <c r="I98" s="374"/>
      <c r="J98" s="375"/>
      <c r="K98" s="376" t="str">
        <f>IF(TRIM(J98)="", "", IF(VLOOKUP(J98,'Footnotes list'!$D$9:$E$58,2,FALSE)=0,"",VLOOKUP(J98,'Footnotes list'!$D$9:$E$58,2,FALSE) ) )</f>
        <v/>
      </c>
      <c r="L98" s="372"/>
      <c r="M98" s="373"/>
      <c r="N98" s="374"/>
      <c r="O98" s="375"/>
      <c r="P98" s="376" t="str">
        <f>IF(TRIM(O98)="", "", IF(VLOOKUP(O98,'Footnotes list'!$D$9:$E$58,2,FALSE)=0,"",VLOOKUP(O98,'Footnotes list'!$D$9:$E$58,2,FALSE) ) )</f>
        <v/>
      </c>
      <c r="Q98" s="372"/>
      <c r="R98" s="373"/>
      <c r="S98" s="374"/>
      <c r="T98" s="375"/>
      <c r="U98" s="376" t="str">
        <f>IF(TRIM(T98)="", "", IF(VLOOKUP(T98,'Footnotes list'!$D$9:$E$58,2,FALSE)=0,"",VLOOKUP(T98,'Footnotes list'!$D$9:$E$58,2,FALSE) ) )</f>
        <v/>
      </c>
      <c r="V98" s="372"/>
      <c r="W98" s="373"/>
      <c r="X98" s="374"/>
      <c r="Y98" s="375"/>
      <c r="Z98" s="376" t="str">
        <f>IF(TRIM(Y98)="", "", IF(VLOOKUP(Y98,'Footnotes list'!$D$9:$E$58,2,FALSE)=0,"",VLOOKUP(Y98,'Footnotes list'!$D$9:$E$58,2,FALSE) ) )</f>
        <v/>
      </c>
      <c r="AA98" s="382" t="str">
        <f>IF(AND(TRIM(Q98)="",TRIM(V98)=""),"",Q98+V98)</f>
        <v/>
      </c>
      <c r="AB98" s="373"/>
      <c r="AC98" s="374"/>
      <c r="AD98" s="375"/>
      <c r="AE98" s="376" t="str">
        <f>IF(TRIM(AD98)="", "", IF(VLOOKUP(AD98,'Footnotes list'!$D$9:$E$58,2,FALSE)=0,"",VLOOKUP(AD98,'Footnotes list'!$D$9:$E$58,2,FALSE) ) )</f>
        <v/>
      </c>
      <c r="AF98" s="372"/>
      <c r="AG98" s="373"/>
      <c r="AH98" s="374"/>
      <c r="AI98" s="375"/>
      <c r="AJ98" s="376" t="str">
        <f>IF(TRIM(AI98)="", "", IF(VLOOKUP(AI98,'Footnotes list'!$D$9:$E$58,2,FALSE)=0,"",VLOOKUP(AI98,'Footnotes list'!$D$9:$E$58,2,FALSE) ) )</f>
        <v/>
      </c>
      <c r="AK98" s="372"/>
      <c r="AL98" s="373"/>
      <c r="AM98" s="374"/>
      <c r="AN98" s="375"/>
      <c r="AO98" s="376" t="str">
        <f>IF(TRIM(AN98)="", "", IF(VLOOKUP(AN98,'Footnotes list'!$D$9:$E$58,2,FALSE)=0,"",VLOOKUP(AN98,'Footnotes list'!$D$9:$E$58,2,FALSE) ) )</f>
        <v/>
      </c>
      <c r="AP98" s="382" t="str">
        <f>IF(AND(TRIM(AF98)="",TRIM(AK98)=""),"",AF98+AK98)</f>
        <v/>
      </c>
      <c r="AQ98" s="373"/>
      <c r="AR98" s="374"/>
      <c r="AS98" s="375"/>
      <c r="AT98" s="376" t="str">
        <f>IF(TRIM(AS98)="", "", IF(VLOOKUP(AS98,'Footnotes list'!$D$9:$E$58,2,FALSE)=0,"",VLOOKUP(AS98,'Footnotes list'!$D$9:$E$58,2,FALSE) ) )</f>
        <v/>
      </c>
      <c r="AU98" s="382" t="str">
        <f>IF(AND(TRIM(G98)="",TRIM(L98)="",TRIM(AA98)="",TRIM(AP98)=""),"",SUM(G98,L98,AA98,AP98))</f>
        <v/>
      </c>
      <c r="AV98" s="373"/>
      <c r="AW98" s="374"/>
      <c r="AX98" s="375"/>
      <c r="AY98" s="376" t="str">
        <f>IF(TRIM(AX98)="", "", IF(VLOOKUP(AX98,'Footnotes list'!$D$9:$E$58,2,FALSE)=0,"",VLOOKUP(AX98,'Footnotes list'!$D$9:$E$58,2,FALSE) ) )</f>
        <v/>
      </c>
    </row>
    <row r="99" spans="2:51" ht="15" customHeight="1" x14ac:dyDescent="0.35">
      <c r="B99" s="535"/>
      <c r="C99" s="50" t="s">
        <v>140</v>
      </c>
      <c r="D99" s="529"/>
      <c r="E99" s="51" t="s">
        <v>145</v>
      </c>
      <c r="F99" s="52" t="s">
        <v>152</v>
      </c>
      <c r="G99" s="378"/>
      <c r="H99" s="379"/>
      <c r="I99" s="380"/>
      <c r="J99" s="381"/>
      <c r="K99" s="377" t="str">
        <f>IF(TRIM(J99)="", "", IF(VLOOKUP(J99,'Footnotes list'!$D$9:$E$58,2,FALSE)=0,"",VLOOKUP(J99,'Footnotes list'!$D$9:$E$58,2,FALSE) ) )</f>
        <v/>
      </c>
      <c r="L99" s="378"/>
      <c r="M99" s="379"/>
      <c r="N99" s="380"/>
      <c r="O99" s="381"/>
      <c r="P99" s="377" t="str">
        <f>IF(TRIM(O99)="", "", IF(VLOOKUP(O99,'Footnotes list'!$D$9:$E$58,2,FALSE)=0,"",VLOOKUP(O99,'Footnotes list'!$D$9:$E$58,2,FALSE) ) )</f>
        <v/>
      </c>
      <c r="Q99" s="378"/>
      <c r="R99" s="379"/>
      <c r="S99" s="380"/>
      <c r="T99" s="381"/>
      <c r="U99" s="377" t="str">
        <f>IF(TRIM(T99)="", "", IF(VLOOKUP(T99,'Footnotes list'!$D$9:$E$58,2,FALSE)=0,"",VLOOKUP(T99,'Footnotes list'!$D$9:$E$58,2,FALSE) ) )</f>
        <v/>
      </c>
      <c r="V99" s="378"/>
      <c r="W99" s="379"/>
      <c r="X99" s="380"/>
      <c r="Y99" s="381"/>
      <c r="Z99" s="377" t="str">
        <f>IF(TRIM(Y99)="", "", IF(VLOOKUP(Y99,'Footnotes list'!$D$9:$E$58,2,FALSE)=0,"",VLOOKUP(Y99,'Footnotes list'!$D$9:$E$58,2,FALSE) ) )</f>
        <v/>
      </c>
      <c r="AA99" s="129" t="str">
        <f>IF(AND(TRIM(Q99)="",TRIM(V99)=""),"",Q99+V99)</f>
        <v/>
      </c>
      <c r="AB99" s="379"/>
      <c r="AC99" s="380"/>
      <c r="AD99" s="381"/>
      <c r="AE99" s="377" t="str">
        <f>IF(TRIM(AD99)="", "", IF(VLOOKUP(AD99,'Footnotes list'!$D$9:$E$58,2,FALSE)=0,"",VLOOKUP(AD99,'Footnotes list'!$D$9:$E$58,2,FALSE) ) )</f>
        <v/>
      </c>
      <c r="AF99" s="378"/>
      <c r="AG99" s="379"/>
      <c r="AH99" s="380"/>
      <c r="AI99" s="381"/>
      <c r="AJ99" s="377" t="str">
        <f>IF(TRIM(AI99)="", "", IF(VLOOKUP(AI99,'Footnotes list'!$D$9:$E$58,2,FALSE)=0,"",VLOOKUP(AI99,'Footnotes list'!$D$9:$E$58,2,FALSE) ) )</f>
        <v/>
      </c>
      <c r="AK99" s="378"/>
      <c r="AL99" s="379"/>
      <c r="AM99" s="380"/>
      <c r="AN99" s="381"/>
      <c r="AO99" s="377" t="str">
        <f>IF(TRIM(AN99)="", "", IF(VLOOKUP(AN99,'Footnotes list'!$D$9:$E$58,2,FALSE)=0,"",VLOOKUP(AN99,'Footnotes list'!$D$9:$E$58,2,FALSE) ) )</f>
        <v/>
      </c>
      <c r="AP99" s="129" t="str">
        <f>IF(AND(TRIM(AF99)="",TRIM(AK99)=""),"",AF99+AK99)</f>
        <v/>
      </c>
      <c r="AQ99" s="379"/>
      <c r="AR99" s="380"/>
      <c r="AS99" s="381"/>
      <c r="AT99" s="377" t="str">
        <f>IF(TRIM(AS99)="", "", IF(VLOOKUP(AS99,'Footnotes list'!$D$9:$E$58,2,FALSE)=0,"",VLOOKUP(AS99,'Footnotes list'!$D$9:$E$58,2,FALSE) ) )</f>
        <v/>
      </c>
      <c r="AU99" s="403" t="str">
        <f>IF(AND(TRIM(G99)="",TRIM(L99)="",TRIM(AA99)="",TRIM(AP99)=""),"",SUM(G99,L99,AA99,AP99))</f>
        <v/>
      </c>
      <c r="AV99" s="379"/>
      <c r="AW99" s="380"/>
      <c r="AX99" s="381"/>
      <c r="AY99" s="377" t="str">
        <f>IF(TRIM(AX99)="", "", IF(VLOOKUP(AX99,'Footnotes list'!$D$9:$E$58,2,FALSE)=0,"",VLOOKUP(AX99,'Footnotes list'!$D$9:$E$58,2,FALSE) ) )</f>
        <v/>
      </c>
    </row>
    <row r="100" spans="2:51" ht="15" customHeight="1" thickBot="1" x14ac:dyDescent="0.4">
      <c r="B100" s="536"/>
      <c r="C100" s="53" t="s">
        <v>140</v>
      </c>
      <c r="D100" s="530"/>
      <c r="E100" s="47" t="s">
        <v>146</v>
      </c>
      <c r="F100" s="54" t="s">
        <v>234</v>
      </c>
      <c r="G100" s="126" t="str">
        <f>IF(AND(TRIM(G98)="",TRIM(G99)=""),"",G98+G99)</f>
        <v/>
      </c>
      <c r="H100" s="379"/>
      <c r="I100" s="380"/>
      <c r="J100" s="381"/>
      <c r="K100" s="377" t="str">
        <f>IF(TRIM(J100)="", "", IF(VLOOKUP(J100,'Footnotes list'!$D$9:$E$58,2,FALSE)=0,"",VLOOKUP(J100,'Footnotes list'!$D$9:$E$58,2,FALSE) ) )</f>
        <v/>
      </c>
      <c r="L100" s="126" t="str">
        <f>IF(AND(TRIM(L98)="",TRIM(L99)=""),"",L98+L99)</f>
        <v/>
      </c>
      <c r="M100" s="379"/>
      <c r="N100" s="380"/>
      <c r="O100" s="381"/>
      <c r="P100" s="377" t="str">
        <f>IF(TRIM(O100)="", "", IF(VLOOKUP(O100,'Footnotes list'!$D$9:$E$58,2,FALSE)=0,"",VLOOKUP(O100,'Footnotes list'!$D$9:$E$58,2,FALSE) ) )</f>
        <v/>
      </c>
      <c r="Q100" s="126" t="str">
        <f>IF(AND(TRIM(Q98)="",TRIM(Q99)=""),"",Q98+Q99)</f>
        <v/>
      </c>
      <c r="R100" s="379"/>
      <c r="S100" s="380"/>
      <c r="T100" s="381"/>
      <c r="U100" s="377" t="str">
        <f>IF(TRIM(T100)="", "", IF(VLOOKUP(T100,'Footnotes list'!$D$9:$E$58,2,FALSE)=0,"",VLOOKUP(T100,'Footnotes list'!$D$9:$E$58,2,FALSE) ) )</f>
        <v/>
      </c>
      <c r="V100" s="126" t="str">
        <f>IF(AND(TRIM(V98)="",TRIM(V99)=""),"",V98+V99)</f>
        <v/>
      </c>
      <c r="W100" s="379"/>
      <c r="X100" s="380"/>
      <c r="Y100" s="381"/>
      <c r="Z100" s="377" t="str">
        <f>IF(TRIM(Y100)="", "", IF(VLOOKUP(Y100,'Footnotes list'!$D$9:$E$58,2,FALSE)=0,"",VLOOKUP(Y100,'Footnotes list'!$D$9:$E$58,2,FALSE) ) )</f>
        <v/>
      </c>
      <c r="AA100" s="126" t="str">
        <f>IF(AND(TRIM(AA98)="", TRIM(AA99)=""), "", SUM(AA98,AA99))</f>
        <v/>
      </c>
      <c r="AB100" s="379"/>
      <c r="AC100" s="380"/>
      <c r="AD100" s="381"/>
      <c r="AE100" s="377" t="str">
        <f>IF(TRIM(AD100)="", "", IF(VLOOKUP(AD100,'Footnotes list'!$D$9:$E$58,2,FALSE)=0,"",VLOOKUP(AD100,'Footnotes list'!$D$9:$E$58,2,FALSE) ) )</f>
        <v/>
      </c>
      <c r="AF100" s="126" t="str">
        <f>IF(AND(TRIM(AF98)="",TRIM(AF99)=""),"",AF98+AF99)</f>
        <v/>
      </c>
      <c r="AG100" s="379"/>
      <c r="AH100" s="380"/>
      <c r="AI100" s="381"/>
      <c r="AJ100" s="377" t="str">
        <f>IF(TRIM(AI100)="", "", IF(VLOOKUP(AI100,'Footnotes list'!$D$9:$E$58,2,FALSE)=0,"",VLOOKUP(AI100,'Footnotes list'!$D$9:$E$58,2,FALSE) ) )</f>
        <v/>
      </c>
      <c r="AK100" s="126" t="str">
        <f>IF(AND(TRIM(AK98)="",TRIM(AK99)=""),"",AK98+AK99)</f>
        <v/>
      </c>
      <c r="AL100" s="379"/>
      <c r="AM100" s="380"/>
      <c r="AN100" s="381"/>
      <c r="AO100" s="377" t="str">
        <f>IF(TRIM(AN100)="", "", IF(VLOOKUP(AN100,'Footnotes list'!$D$9:$E$58,2,FALSE)=0,"",VLOOKUP(AN100,'Footnotes list'!$D$9:$E$58,2,FALSE) ) )</f>
        <v/>
      </c>
      <c r="AP100" s="126" t="str">
        <f>IF(AND(TRIM(AP98)="", TRIM(AP99)=""), "", SUM(AP98,AP99))</f>
        <v/>
      </c>
      <c r="AQ100" s="379"/>
      <c r="AR100" s="380"/>
      <c r="AS100" s="381"/>
      <c r="AT100" s="377" t="str">
        <f>IF(TRIM(AS100)="", "", IF(VLOOKUP(AS100,'Footnotes list'!$D$9:$E$58,2,FALSE)=0,"",VLOOKUP(AS100,'Footnotes list'!$D$9:$E$58,2,FALSE) ) )</f>
        <v/>
      </c>
      <c r="AU100" s="126" t="str">
        <f>IF(AND(TRIM(AU98)="", TRIM(AU99)=""), "", SUM(AU98,AU99) )</f>
        <v/>
      </c>
      <c r="AV100" s="379"/>
      <c r="AW100" s="380"/>
      <c r="AX100" s="381"/>
      <c r="AY100" s="377" t="str">
        <f>IF(TRIM(AX100)="", "", IF(VLOOKUP(AX100,'Footnotes list'!$D$9:$E$58,2,FALSE)=0,"",VLOOKUP(AX100,'Footnotes list'!$D$9:$E$58,2,FALSE) ) )</f>
        <v/>
      </c>
    </row>
    <row r="101" spans="2:51" ht="15" customHeight="1" x14ac:dyDescent="0.35">
      <c r="B101" s="534" t="s">
        <v>141</v>
      </c>
      <c r="C101" s="41" t="s">
        <v>141</v>
      </c>
      <c r="D101" s="528" t="s">
        <v>104</v>
      </c>
      <c r="E101" s="42" t="s">
        <v>144</v>
      </c>
      <c r="F101" s="43" t="s">
        <v>151</v>
      </c>
      <c r="G101" s="372"/>
      <c r="H101" s="373"/>
      <c r="I101" s="374"/>
      <c r="J101" s="375"/>
      <c r="K101" s="376" t="str">
        <f>IF(TRIM(J101)="", "", IF(VLOOKUP(J101,'Footnotes list'!$D$9:$E$58,2,FALSE)=0,"",VLOOKUP(J101,'Footnotes list'!$D$9:$E$58,2,FALSE) ) )</f>
        <v/>
      </c>
      <c r="L101" s="372"/>
      <c r="M101" s="373"/>
      <c r="N101" s="374"/>
      <c r="O101" s="375"/>
      <c r="P101" s="376" t="str">
        <f>IF(TRIM(O101)="", "", IF(VLOOKUP(O101,'Footnotes list'!$D$9:$E$58,2,FALSE)=0,"",VLOOKUP(O101,'Footnotes list'!$D$9:$E$58,2,FALSE) ) )</f>
        <v/>
      </c>
      <c r="Q101" s="372"/>
      <c r="R101" s="373"/>
      <c r="S101" s="374"/>
      <c r="T101" s="375"/>
      <c r="U101" s="376" t="str">
        <f>IF(TRIM(T101)="", "", IF(VLOOKUP(T101,'Footnotes list'!$D$9:$E$58,2,FALSE)=0,"",VLOOKUP(T101,'Footnotes list'!$D$9:$E$58,2,FALSE) ) )</f>
        <v/>
      </c>
      <c r="V101" s="372"/>
      <c r="W101" s="373"/>
      <c r="X101" s="374"/>
      <c r="Y101" s="375"/>
      <c r="Z101" s="376" t="str">
        <f>IF(TRIM(Y101)="", "", IF(VLOOKUP(Y101,'Footnotes list'!$D$9:$E$58,2,FALSE)=0,"",VLOOKUP(Y101,'Footnotes list'!$D$9:$E$58,2,FALSE) ) )</f>
        <v/>
      </c>
      <c r="AA101" s="382" t="str">
        <f>IF(AND(TRIM(Q101)="",TRIM(V101)=""),"",Q101+V101)</f>
        <v/>
      </c>
      <c r="AB101" s="373"/>
      <c r="AC101" s="374"/>
      <c r="AD101" s="375"/>
      <c r="AE101" s="376" t="str">
        <f>IF(TRIM(AD101)="", "", IF(VLOOKUP(AD101,'Footnotes list'!$D$9:$E$58,2,FALSE)=0,"",VLOOKUP(AD101,'Footnotes list'!$D$9:$E$58,2,FALSE) ) )</f>
        <v/>
      </c>
      <c r="AF101" s="372"/>
      <c r="AG101" s="373"/>
      <c r="AH101" s="374"/>
      <c r="AI101" s="375"/>
      <c r="AJ101" s="376" t="str">
        <f>IF(TRIM(AI101)="", "", IF(VLOOKUP(AI101,'Footnotes list'!$D$9:$E$58,2,FALSE)=0,"",VLOOKUP(AI101,'Footnotes list'!$D$9:$E$58,2,FALSE) ) )</f>
        <v/>
      </c>
      <c r="AK101" s="372"/>
      <c r="AL101" s="373"/>
      <c r="AM101" s="374"/>
      <c r="AN101" s="375"/>
      <c r="AO101" s="376" t="str">
        <f>IF(TRIM(AN101)="", "", IF(VLOOKUP(AN101,'Footnotes list'!$D$9:$E$58,2,FALSE)=0,"",VLOOKUP(AN101,'Footnotes list'!$D$9:$E$58,2,FALSE) ) )</f>
        <v/>
      </c>
      <c r="AP101" s="382" t="str">
        <f>IF(AND(TRIM(AF101)="",TRIM(AK101)=""),"",AF101+AK101)</f>
        <v/>
      </c>
      <c r="AQ101" s="373"/>
      <c r="AR101" s="374"/>
      <c r="AS101" s="375"/>
      <c r="AT101" s="376" t="str">
        <f>IF(TRIM(AS101)="", "", IF(VLOOKUP(AS101,'Footnotes list'!$D$9:$E$58,2,FALSE)=0,"",VLOOKUP(AS101,'Footnotes list'!$D$9:$E$58,2,FALSE) ) )</f>
        <v/>
      </c>
      <c r="AU101" s="382" t="str">
        <f>IF(AND(TRIM(G101)="",TRIM(L101)="",TRIM(AA101)="",TRIM(AP101)=""),"",SUM(G101,L101,AA101,AP101))</f>
        <v/>
      </c>
      <c r="AV101" s="373"/>
      <c r="AW101" s="374"/>
      <c r="AX101" s="375"/>
      <c r="AY101" s="376" t="str">
        <f>IF(TRIM(AX101)="", "", IF(VLOOKUP(AX101,'Footnotes list'!$D$9:$E$58,2,FALSE)=0,"",VLOOKUP(AX101,'Footnotes list'!$D$9:$E$58,2,FALSE) ) )</f>
        <v/>
      </c>
    </row>
    <row r="102" spans="2:51" ht="15" customHeight="1" x14ac:dyDescent="0.35">
      <c r="B102" s="535"/>
      <c r="C102" s="50" t="s">
        <v>141</v>
      </c>
      <c r="D102" s="529"/>
      <c r="E102" s="51" t="s">
        <v>145</v>
      </c>
      <c r="F102" s="52" t="s">
        <v>152</v>
      </c>
      <c r="G102" s="378"/>
      <c r="H102" s="379"/>
      <c r="I102" s="380"/>
      <c r="J102" s="381"/>
      <c r="K102" s="377" t="str">
        <f>IF(TRIM(J102)="", "", IF(VLOOKUP(J102,'Footnotes list'!$D$9:$E$58,2,FALSE)=0,"",VLOOKUP(J102,'Footnotes list'!$D$9:$E$58,2,FALSE) ) )</f>
        <v/>
      </c>
      <c r="L102" s="378"/>
      <c r="M102" s="379"/>
      <c r="N102" s="380"/>
      <c r="O102" s="381"/>
      <c r="P102" s="377" t="str">
        <f>IF(TRIM(O102)="", "", IF(VLOOKUP(O102,'Footnotes list'!$D$9:$E$58,2,FALSE)=0,"",VLOOKUP(O102,'Footnotes list'!$D$9:$E$58,2,FALSE) ) )</f>
        <v/>
      </c>
      <c r="Q102" s="378"/>
      <c r="R102" s="379"/>
      <c r="S102" s="380"/>
      <c r="T102" s="381"/>
      <c r="U102" s="377" t="str">
        <f>IF(TRIM(T102)="", "", IF(VLOOKUP(T102,'Footnotes list'!$D$9:$E$58,2,FALSE)=0,"",VLOOKUP(T102,'Footnotes list'!$D$9:$E$58,2,FALSE) ) )</f>
        <v/>
      </c>
      <c r="V102" s="378"/>
      <c r="W102" s="379"/>
      <c r="X102" s="380"/>
      <c r="Y102" s="381"/>
      <c r="Z102" s="377" t="str">
        <f>IF(TRIM(Y102)="", "", IF(VLOOKUP(Y102,'Footnotes list'!$D$9:$E$58,2,FALSE)=0,"",VLOOKUP(Y102,'Footnotes list'!$D$9:$E$58,2,FALSE) ) )</f>
        <v/>
      </c>
      <c r="AA102" s="129" t="str">
        <f>IF(AND(TRIM(Q102)="",TRIM(V102)=""),"",Q102+V102)</f>
        <v/>
      </c>
      <c r="AB102" s="379"/>
      <c r="AC102" s="380"/>
      <c r="AD102" s="381"/>
      <c r="AE102" s="377" t="str">
        <f>IF(TRIM(AD102)="", "", IF(VLOOKUP(AD102,'Footnotes list'!$D$9:$E$58,2,FALSE)=0,"",VLOOKUP(AD102,'Footnotes list'!$D$9:$E$58,2,FALSE) ) )</f>
        <v/>
      </c>
      <c r="AF102" s="378"/>
      <c r="AG102" s="379"/>
      <c r="AH102" s="380"/>
      <c r="AI102" s="381"/>
      <c r="AJ102" s="377" t="str">
        <f>IF(TRIM(AI102)="", "", IF(VLOOKUP(AI102,'Footnotes list'!$D$9:$E$58,2,FALSE)=0,"",VLOOKUP(AI102,'Footnotes list'!$D$9:$E$58,2,FALSE) ) )</f>
        <v/>
      </c>
      <c r="AK102" s="378"/>
      <c r="AL102" s="379"/>
      <c r="AM102" s="380"/>
      <c r="AN102" s="381"/>
      <c r="AO102" s="377" t="str">
        <f>IF(TRIM(AN102)="", "", IF(VLOOKUP(AN102,'Footnotes list'!$D$9:$E$58,2,FALSE)=0,"",VLOOKUP(AN102,'Footnotes list'!$D$9:$E$58,2,FALSE) ) )</f>
        <v/>
      </c>
      <c r="AP102" s="129" t="str">
        <f>IF(AND(TRIM(AF102)="",TRIM(AK102)=""),"",AF102+AK102)</f>
        <v/>
      </c>
      <c r="AQ102" s="379"/>
      <c r="AR102" s="380"/>
      <c r="AS102" s="381"/>
      <c r="AT102" s="377" t="str">
        <f>IF(TRIM(AS102)="", "", IF(VLOOKUP(AS102,'Footnotes list'!$D$9:$E$58,2,FALSE)=0,"",VLOOKUP(AS102,'Footnotes list'!$D$9:$E$58,2,FALSE) ) )</f>
        <v/>
      </c>
      <c r="AU102" s="403" t="str">
        <f>IF(AND(TRIM(G102)="",TRIM(L102)="",TRIM(AA102)="",TRIM(AP102)=""),"",SUM(G102,L102,AA102,AP102))</f>
        <v/>
      </c>
      <c r="AV102" s="379"/>
      <c r="AW102" s="380"/>
      <c r="AX102" s="381"/>
      <c r="AY102" s="377" t="str">
        <f>IF(TRIM(AX102)="", "", IF(VLOOKUP(AX102,'Footnotes list'!$D$9:$E$58,2,FALSE)=0,"",VLOOKUP(AX102,'Footnotes list'!$D$9:$E$58,2,FALSE) ) )</f>
        <v/>
      </c>
    </row>
    <row r="103" spans="2:51" ht="15" customHeight="1" thickBot="1" x14ac:dyDescent="0.4">
      <c r="B103" s="536"/>
      <c r="C103" s="53" t="s">
        <v>141</v>
      </c>
      <c r="D103" s="530"/>
      <c r="E103" s="47" t="s">
        <v>146</v>
      </c>
      <c r="F103" s="54" t="s">
        <v>234</v>
      </c>
      <c r="G103" s="126" t="str">
        <f>IF(AND(TRIM(G101)="",TRIM(G102)=""),"",G101+G102)</f>
        <v/>
      </c>
      <c r="H103" s="379"/>
      <c r="I103" s="380"/>
      <c r="J103" s="381"/>
      <c r="K103" s="377" t="str">
        <f>IF(TRIM(J103)="", "", IF(VLOOKUP(J103,'Footnotes list'!$D$9:$E$58,2,FALSE)=0,"",VLOOKUP(J103,'Footnotes list'!$D$9:$E$58,2,FALSE) ) )</f>
        <v/>
      </c>
      <c r="L103" s="126" t="str">
        <f>IF(AND(TRIM(L101)="",TRIM(L102)=""),"",L101+L102)</f>
        <v/>
      </c>
      <c r="M103" s="379"/>
      <c r="N103" s="380"/>
      <c r="O103" s="381"/>
      <c r="P103" s="377" t="str">
        <f>IF(TRIM(O103)="", "", IF(VLOOKUP(O103,'Footnotes list'!$D$9:$E$58,2,FALSE)=0,"",VLOOKUP(O103,'Footnotes list'!$D$9:$E$58,2,FALSE) ) )</f>
        <v/>
      </c>
      <c r="Q103" s="126" t="str">
        <f>IF(AND(TRIM(Q101)="",TRIM(Q102)=""),"",Q101+Q102)</f>
        <v/>
      </c>
      <c r="R103" s="379"/>
      <c r="S103" s="380"/>
      <c r="T103" s="381"/>
      <c r="U103" s="377" t="str">
        <f>IF(TRIM(T103)="", "", IF(VLOOKUP(T103,'Footnotes list'!$D$9:$E$58,2,FALSE)=0,"",VLOOKUP(T103,'Footnotes list'!$D$9:$E$58,2,FALSE) ) )</f>
        <v/>
      </c>
      <c r="V103" s="126" t="str">
        <f>IF(AND(TRIM(V101)="",TRIM(V102)=""),"",V101+V102)</f>
        <v/>
      </c>
      <c r="W103" s="379"/>
      <c r="X103" s="380"/>
      <c r="Y103" s="381"/>
      <c r="Z103" s="377" t="str">
        <f>IF(TRIM(Y103)="", "", IF(VLOOKUP(Y103,'Footnotes list'!$D$9:$E$58,2,FALSE)=0,"",VLOOKUP(Y103,'Footnotes list'!$D$9:$E$58,2,FALSE) ) )</f>
        <v/>
      </c>
      <c r="AA103" s="126" t="str">
        <f>IF(AND(TRIM(AA101)="", TRIM(AA102)=""), "", SUM(AA101,AA102))</f>
        <v/>
      </c>
      <c r="AB103" s="379"/>
      <c r="AC103" s="380"/>
      <c r="AD103" s="381"/>
      <c r="AE103" s="377" t="str">
        <f>IF(TRIM(AD103)="", "", IF(VLOOKUP(AD103,'Footnotes list'!$D$9:$E$58,2,FALSE)=0,"",VLOOKUP(AD103,'Footnotes list'!$D$9:$E$58,2,FALSE) ) )</f>
        <v/>
      </c>
      <c r="AF103" s="126" t="str">
        <f>IF(AND(TRIM(AF101)="",TRIM(AF102)=""),"",AF101+AF102)</f>
        <v/>
      </c>
      <c r="AG103" s="379"/>
      <c r="AH103" s="380"/>
      <c r="AI103" s="381"/>
      <c r="AJ103" s="377" t="str">
        <f>IF(TRIM(AI103)="", "", IF(VLOOKUP(AI103,'Footnotes list'!$D$9:$E$58,2,FALSE)=0,"",VLOOKUP(AI103,'Footnotes list'!$D$9:$E$58,2,FALSE) ) )</f>
        <v/>
      </c>
      <c r="AK103" s="126" t="str">
        <f>IF(AND(TRIM(AK101)="",TRIM(AK102)=""),"",AK101+AK102)</f>
        <v/>
      </c>
      <c r="AL103" s="379"/>
      <c r="AM103" s="380"/>
      <c r="AN103" s="381"/>
      <c r="AO103" s="377" t="str">
        <f>IF(TRIM(AN103)="", "", IF(VLOOKUP(AN103,'Footnotes list'!$D$9:$E$58,2,FALSE)=0,"",VLOOKUP(AN103,'Footnotes list'!$D$9:$E$58,2,FALSE) ) )</f>
        <v/>
      </c>
      <c r="AP103" s="126" t="str">
        <f>IF(AND(TRIM(AP101)="", TRIM(AP102)=""), "", SUM(AP101,AP102))</f>
        <v/>
      </c>
      <c r="AQ103" s="379"/>
      <c r="AR103" s="380"/>
      <c r="AS103" s="381"/>
      <c r="AT103" s="377" t="str">
        <f>IF(TRIM(AS103)="", "", IF(VLOOKUP(AS103,'Footnotes list'!$D$9:$E$58,2,FALSE)=0,"",VLOOKUP(AS103,'Footnotes list'!$D$9:$E$58,2,FALSE) ) )</f>
        <v/>
      </c>
      <c r="AU103" s="126" t="str">
        <f>IF(AND(TRIM(AU101)="", TRIM(AU102)=""), "", SUM(AU101,AU102) )</f>
        <v/>
      </c>
      <c r="AV103" s="379"/>
      <c r="AW103" s="380"/>
      <c r="AX103" s="381"/>
      <c r="AY103" s="377" t="str">
        <f>IF(TRIM(AX103)="", "", IF(VLOOKUP(AX103,'Footnotes list'!$D$9:$E$58,2,FALSE)=0,"",VLOOKUP(AX103,'Footnotes list'!$D$9:$E$58,2,FALSE) ) )</f>
        <v/>
      </c>
    </row>
    <row r="104" spans="2:51" ht="15" customHeight="1" x14ac:dyDescent="0.35">
      <c r="B104" s="534" t="s">
        <v>142</v>
      </c>
      <c r="C104" s="41" t="s">
        <v>142</v>
      </c>
      <c r="D104" s="528" t="s">
        <v>162</v>
      </c>
      <c r="E104" s="42" t="s">
        <v>144</v>
      </c>
      <c r="F104" s="43" t="s">
        <v>151</v>
      </c>
      <c r="G104" s="372"/>
      <c r="H104" s="373"/>
      <c r="I104" s="374"/>
      <c r="J104" s="375"/>
      <c r="K104" s="376" t="str">
        <f>IF(TRIM(J104)="", "", IF(VLOOKUP(J104,'Footnotes list'!$D$9:$E$58,2,FALSE)=0,"",VLOOKUP(J104,'Footnotes list'!$D$9:$E$58,2,FALSE) ) )</f>
        <v/>
      </c>
      <c r="L104" s="372"/>
      <c r="M104" s="373"/>
      <c r="N104" s="374"/>
      <c r="O104" s="375"/>
      <c r="P104" s="376" t="str">
        <f>IF(TRIM(O104)="", "", IF(VLOOKUP(O104,'Footnotes list'!$D$9:$E$58,2,FALSE)=0,"",VLOOKUP(O104,'Footnotes list'!$D$9:$E$58,2,FALSE) ) )</f>
        <v/>
      </c>
      <c r="Q104" s="372"/>
      <c r="R104" s="373"/>
      <c r="S104" s="374"/>
      <c r="T104" s="375"/>
      <c r="U104" s="376" t="str">
        <f>IF(TRIM(T104)="", "", IF(VLOOKUP(T104,'Footnotes list'!$D$9:$E$58,2,FALSE)=0,"",VLOOKUP(T104,'Footnotes list'!$D$9:$E$58,2,FALSE) ) )</f>
        <v/>
      </c>
      <c r="V104" s="372"/>
      <c r="W104" s="373"/>
      <c r="X104" s="374"/>
      <c r="Y104" s="375"/>
      <c r="Z104" s="376" t="str">
        <f>IF(TRIM(Y104)="", "", IF(VLOOKUP(Y104,'Footnotes list'!$D$9:$E$58,2,FALSE)=0,"",VLOOKUP(Y104,'Footnotes list'!$D$9:$E$58,2,FALSE) ) )</f>
        <v/>
      </c>
      <c r="AA104" s="382" t="str">
        <f>IF(AND(TRIM(Q104)="",TRIM(V104)=""),"",Q104+V104)</f>
        <v/>
      </c>
      <c r="AB104" s="373"/>
      <c r="AC104" s="374"/>
      <c r="AD104" s="375"/>
      <c r="AE104" s="376" t="str">
        <f>IF(TRIM(AD104)="", "", IF(VLOOKUP(AD104,'Footnotes list'!$D$9:$E$58,2,FALSE)=0,"",VLOOKUP(AD104,'Footnotes list'!$D$9:$E$58,2,FALSE) ) )</f>
        <v/>
      </c>
      <c r="AF104" s="372"/>
      <c r="AG104" s="373"/>
      <c r="AH104" s="374"/>
      <c r="AI104" s="375"/>
      <c r="AJ104" s="376" t="str">
        <f>IF(TRIM(AI104)="", "", IF(VLOOKUP(AI104,'Footnotes list'!$D$9:$E$58,2,FALSE)=0,"",VLOOKUP(AI104,'Footnotes list'!$D$9:$E$58,2,FALSE) ) )</f>
        <v/>
      </c>
      <c r="AK104" s="372"/>
      <c r="AL104" s="373"/>
      <c r="AM104" s="374"/>
      <c r="AN104" s="375"/>
      <c r="AO104" s="376" t="str">
        <f>IF(TRIM(AN104)="", "", IF(VLOOKUP(AN104,'Footnotes list'!$D$9:$E$58,2,FALSE)=0,"",VLOOKUP(AN104,'Footnotes list'!$D$9:$E$58,2,FALSE) ) )</f>
        <v/>
      </c>
      <c r="AP104" s="382" t="str">
        <f>IF(AND(TRIM(AF104)="",TRIM(AK104)=""),"",AF104+AK104)</f>
        <v/>
      </c>
      <c r="AQ104" s="373"/>
      <c r="AR104" s="374"/>
      <c r="AS104" s="375"/>
      <c r="AT104" s="376" t="str">
        <f>IF(TRIM(AS104)="", "", IF(VLOOKUP(AS104,'Footnotes list'!$D$9:$E$58,2,FALSE)=0,"",VLOOKUP(AS104,'Footnotes list'!$D$9:$E$58,2,FALSE) ) )</f>
        <v/>
      </c>
      <c r="AU104" s="382" t="str">
        <f>IF(AND(TRIM(G104)="",TRIM(L104)="",TRIM(AA104)="",TRIM(AP104)=""),"",SUM(G104,L104,AA104,AP104))</f>
        <v/>
      </c>
      <c r="AV104" s="373"/>
      <c r="AW104" s="374"/>
      <c r="AX104" s="375"/>
      <c r="AY104" s="376" t="str">
        <f>IF(TRIM(AX104)="", "", IF(VLOOKUP(AX104,'Footnotes list'!$D$9:$E$58,2,FALSE)=0,"",VLOOKUP(AX104,'Footnotes list'!$D$9:$E$58,2,FALSE) ) )</f>
        <v/>
      </c>
    </row>
    <row r="105" spans="2:51" ht="15" customHeight="1" x14ac:dyDescent="0.35">
      <c r="B105" s="535"/>
      <c r="C105" s="50" t="s">
        <v>142</v>
      </c>
      <c r="D105" s="529"/>
      <c r="E105" s="51" t="s">
        <v>145</v>
      </c>
      <c r="F105" s="52" t="s">
        <v>152</v>
      </c>
      <c r="G105" s="378"/>
      <c r="H105" s="379"/>
      <c r="I105" s="380"/>
      <c r="J105" s="381"/>
      <c r="K105" s="377" t="str">
        <f>IF(TRIM(J105)="", "", IF(VLOOKUP(J105,'Footnotes list'!$D$9:$E$58,2,FALSE)=0,"",VLOOKUP(J105,'Footnotes list'!$D$9:$E$58,2,FALSE) ) )</f>
        <v/>
      </c>
      <c r="L105" s="378"/>
      <c r="M105" s="379"/>
      <c r="N105" s="380"/>
      <c r="O105" s="381"/>
      <c r="P105" s="377" t="str">
        <f>IF(TRIM(O105)="", "", IF(VLOOKUP(O105,'Footnotes list'!$D$9:$E$58,2,FALSE)=0,"",VLOOKUP(O105,'Footnotes list'!$D$9:$E$58,2,FALSE) ) )</f>
        <v/>
      </c>
      <c r="Q105" s="378"/>
      <c r="R105" s="379"/>
      <c r="S105" s="380"/>
      <c r="T105" s="381"/>
      <c r="U105" s="377" t="str">
        <f>IF(TRIM(T105)="", "", IF(VLOOKUP(T105,'Footnotes list'!$D$9:$E$58,2,FALSE)=0,"",VLOOKUP(T105,'Footnotes list'!$D$9:$E$58,2,FALSE) ) )</f>
        <v/>
      </c>
      <c r="V105" s="378"/>
      <c r="W105" s="379"/>
      <c r="X105" s="380"/>
      <c r="Y105" s="381"/>
      <c r="Z105" s="377" t="str">
        <f>IF(TRIM(Y105)="", "", IF(VLOOKUP(Y105,'Footnotes list'!$D$9:$E$58,2,FALSE)=0,"",VLOOKUP(Y105,'Footnotes list'!$D$9:$E$58,2,FALSE) ) )</f>
        <v/>
      </c>
      <c r="AA105" s="129" t="str">
        <f>IF(AND(TRIM(Q105)="",TRIM(V105)=""),"",Q105+V105)</f>
        <v/>
      </c>
      <c r="AB105" s="379"/>
      <c r="AC105" s="380"/>
      <c r="AD105" s="381"/>
      <c r="AE105" s="377" t="str">
        <f>IF(TRIM(AD105)="", "", IF(VLOOKUP(AD105,'Footnotes list'!$D$9:$E$58,2,FALSE)=0,"",VLOOKUP(AD105,'Footnotes list'!$D$9:$E$58,2,FALSE) ) )</f>
        <v/>
      </c>
      <c r="AF105" s="378"/>
      <c r="AG105" s="379"/>
      <c r="AH105" s="380"/>
      <c r="AI105" s="381"/>
      <c r="AJ105" s="377" t="str">
        <f>IF(TRIM(AI105)="", "", IF(VLOOKUP(AI105,'Footnotes list'!$D$9:$E$58,2,FALSE)=0,"",VLOOKUP(AI105,'Footnotes list'!$D$9:$E$58,2,FALSE) ) )</f>
        <v/>
      </c>
      <c r="AK105" s="378"/>
      <c r="AL105" s="379"/>
      <c r="AM105" s="380"/>
      <c r="AN105" s="381"/>
      <c r="AO105" s="377" t="str">
        <f>IF(TRIM(AN105)="", "", IF(VLOOKUP(AN105,'Footnotes list'!$D$9:$E$58,2,FALSE)=0,"",VLOOKUP(AN105,'Footnotes list'!$D$9:$E$58,2,FALSE) ) )</f>
        <v/>
      </c>
      <c r="AP105" s="129" t="str">
        <f>IF(AND(TRIM(AF105)="",TRIM(AK105)=""),"",AF105+AK105)</f>
        <v/>
      </c>
      <c r="AQ105" s="379"/>
      <c r="AR105" s="380"/>
      <c r="AS105" s="381"/>
      <c r="AT105" s="377" t="str">
        <f>IF(TRIM(AS105)="", "", IF(VLOOKUP(AS105,'Footnotes list'!$D$9:$E$58,2,FALSE)=0,"",VLOOKUP(AS105,'Footnotes list'!$D$9:$E$58,2,FALSE) ) )</f>
        <v/>
      </c>
      <c r="AU105" s="403" t="str">
        <f>IF(AND(TRIM(G105)="",TRIM(L105)="",TRIM(AA105)="",TRIM(AP105)=""),"",SUM(G105,L105,AA105,AP105))</f>
        <v/>
      </c>
      <c r="AV105" s="379"/>
      <c r="AW105" s="380"/>
      <c r="AX105" s="381"/>
      <c r="AY105" s="377" t="str">
        <f>IF(TRIM(AX105)="", "", IF(VLOOKUP(AX105,'Footnotes list'!$D$9:$E$58,2,FALSE)=0,"",VLOOKUP(AX105,'Footnotes list'!$D$9:$E$58,2,FALSE) ) )</f>
        <v/>
      </c>
    </row>
    <row r="106" spans="2:51" ht="15" customHeight="1" thickBot="1" x14ac:dyDescent="0.4">
      <c r="B106" s="536"/>
      <c r="C106" s="53" t="s">
        <v>142</v>
      </c>
      <c r="D106" s="530"/>
      <c r="E106" s="47" t="s">
        <v>146</v>
      </c>
      <c r="F106" s="54" t="s">
        <v>234</v>
      </c>
      <c r="G106" s="126" t="str">
        <f>IF(AND(TRIM(G104)="",TRIM(G105)=""),"",G104+G105)</f>
        <v/>
      </c>
      <c r="H106" s="379"/>
      <c r="I106" s="380"/>
      <c r="J106" s="381"/>
      <c r="K106" s="377" t="str">
        <f>IF(TRIM(J106)="", "", IF(VLOOKUP(J106,'Footnotes list'!$D$9:$E$58,2,FALSE)=0,"",VLOOKUP(J106,'Footnotes list'!$D$9:$E$58,2,FALSE) ) )</f>
        <v/>
      </c>
      <c r="L106" s="126" t="str">
        <f>IF(AND(TRIM(L104)="",TRIM(L105)=""),"",L104+L105)</f>
        <v/>
      </c>
      <c r="M106" s="379"/>
      <c r="N106" s="380"/>
      <c r="O106" s="381"/>
      <c r="P106" s="377" t="str">
        <f>IF(TRIM(O106)="", "", IF(VLOOKUP(O106,'Footnotes list'!$D$9:$E$58,2,FALSE)=0,"",VLOOKUP(O106,'Footnotes list'!$D$9:$E$58,2,FALSE) ) )</f>
        <v/>
      </c>
      <c r="Q106" s="126" t="str">
        <f>IF(AND(TRIM(Q104)="",TRIM(Q105)=""),"",Q104+Q105)</f>
        <v/>
      </c>
      <c r="R106" s="379"/>
      <c r="S106" s="380"/>
      <c r="T106" s="381"/>
      <c r="U106" s="377" t="str">
        <f>IF(TRIM(T106)="", "", IF(VLOOKUP(T106,'Footnotes list'!$D$9:$E$58,2,FALSE)=0,"",VLOOKUP(T106,'Footnotes list'!$D$9:$E$58,2,FALSE) ) )</f>
        <v/>
      </c>
      <c r="V106" s="126" t="str">
        <f>IF(AND(TRIM(V104)="",TRIM(V105)=""),"",V104+V105)</f>
        <v/>
      </c>
      <c r="W106" s="379"/>
      <c r="X106" s="380"/>
      <c r="Y106" s="381"/>
      <c r="Z106" s="377" t="str">
        <f>IF(TRIM(Y106)="", "", IF(VLOOKUP(Y106,'Footnotes list'!$D$9:$E$58,2,FALSE)=0,"",VLOOKUP(Y106,'Footnotes list'!$D$9:$E$58,2,FALSE) ) )</f>
        <v/>
      </c>
      <c r="AA106" s="126" t="str">
        <f>IF(AND(TRIM(AA104)="", TRIM(AA105)=""), "", SUM(AA104,AA105))</f>
        <v/>
      </c>
      <c r="AB106" s="379"/>
      <c r="AC106" s="380"/>
      <c r="AD106" s="381"/>
      <c r="AE106" s="377" t="str">
        <f>IF(TRIM(AD106)="", "", IF(VLOOKUP(AD106,'Footnotes list'!$D$9:$E$58,2,FALSE)=0,"",VLOOKUP(AD106,'Footnotes list'!$D$9:$E$58,2,FALSE) ) )</f>
        <v/>
      </c>
      <c r="AF106" s="126" t="str">
        <f>IF(AND(TRIM(AF104)="",TRIM(AF105)=""),"",AF104+AF105)</f>
        <v/>
      </c>
      <c r="AG106" s="379"/>
      <c r="AH106" s="380"/>
      <c r="AI106" s="381"/>
      <c r="AJ106" s="377" t="str">
        <f>IF(TRIM(AI106)="", "", IF(VLOOKUP(AI106,'Footnotes list'!$D$9:$E$58,2,FALSE)=0,"",VLOOKUP(AI106,'Footnotes list'!$D$9:$E$58,2,FALSE) ) )</f>
        <v/>
      </c>
      <c r="AK106" s="126" t="str">
        <f>IF(AND(TRIM(AK104)="",TRIM(AK105)=""),"",AK104+AK105)</f>
        <v/>
      </c>
      <c r="AL106" s="379"/>
      <c r="AM106" s="380"/>
      <c r="AN106" s="381"/>
      <c r="AO106" s="377" t="str">
        <f>IF(TRIM(AN106)="", "", IF(VLOOKUP(AN106,'Footnotes list'!$D$9:$E$58,2,FALSE)=0,"",VLOOKUP(AN106,'Footnotes list'!$D$9:$E$58,2,FALSE) ) )</f>
        <v/>
      </c>
      <c r="AP106" s="126" t="str">
        <f>IF(AND(TRIM(AP104)="", TRIM(AP105)=""), "", SUM(AP104,AP105))</f>
        <v/>
      </c>
      <c r="AQ106" s="379"/>
      <c r="AR106" s="380"/>
      <c r="AS106" s="381"/>
      <c r="AT106" s="377" t="str">
        <f>IF(TRIM(AS106)="", "", IF(VLOOKUP(AS106,'Footnotes list'!$D$9:$E$58,2,FALSE)=0,"",VLOOKUP(AS106,'Footnotes list'!$D$9:$E$58,2,FALSE) ) )</f>
        <v/>
      </c>
      <c r="AU106" s="126" t="str">
        <f>IF(AND(TRIM(AU104)="", TRIM(AU105)=""), "", SUM(AU104,AU105) )</f>
        <v/>
      </c>
      <c r="AV106" s="379"/>
      <c r="AW106" s="380"/>
      <c r="AX106" s="381"/>
      <c r="AY106" s="377" t="str">
        <f>IF(TRIM(AX106)="", "", IF(VLOOKUP(AX106,'Footnotes list'!$D$9:$E$58,2,FALSE)=0,"",VLOOKUP(AX106,'Footnotes list'!$D$9:$E$58,2,FALSE) ) )</f>
        <v/>
      </c>
    </row>
    <row r="107" spans="2:51" ht="15" customHeight="1" x14ac:dyDescent="0.35">
      <c r="B107" s="534" t="s">
        <v>235</v>
      </c>
      <c r="C107" s="41" t="s">
        <v>235</v>
      </c>
      <c r="D107" s="528" t="s">
        <v>236</v>
      </c>
      <c r="E107" s="42" t="s">
        <v>144</v>
      </c>
      <c r="F107" s="43" t="s">
        <v>151</v>
      </c>
      <c r="G107" s="130">
        <f>SUM(G8,G11,G14,G17,G20,G26,G29,G32,G35,G38,G41,G44,G47,G50,G53,G56,G59,G62,G65,G68,G71,G74,G77,G80,G86,G89,G92,G95,G98,G101)</f>
        <v>0</v>
      </c>
      <c r="H107" s="373"/>
      <c r="I107" s="374"/>
      <c r="J107" s="375"/>
      <c r="K107" s="376" t="str">
        <f>IF(TRIM(J107)="", "", IF(VLOOKUP(J107,'Footnotes list'!$D$9:$E$58,2,FALSE)=0,"",VLOOKUP(J107,'Footnotes list'!$D$9:$E$58,2,FALSE) ) )</f>
        <v/>
      </c>
      <c r="L107" s="130">
        <f>SUM(L8,L11,L14,L17,L20,L26,L29,L32,L35,L38,L41,L44,L47,L50,L53,L56,L59,L62,L65,L68,L71,L74,L77,L80,L86,L89,L92,L95,L98,L101)</f>
        <v>0</v>
      </c>
      <c r="M107" s="373"/>
      <c r="N107" s="374"/>
      <c r="O107" s="375"/>
      <c r="P107" s="376" t="str">
        <f>IF(TRIM(O107)="", "", IF(VLOOKUP(O107,'Footnotes list'!$D$9:$E$58,2,FALSE)=0,"",VLOOKUP(O107,'Footnotes list'!$D$9:$E$58,2,FALSE) ) )</f>
        <v/>
      </c>
      <c r="Q107" s="130">
        <f>SUM(Q8,Q11,Q14,Q17,Q20,Q26,Q29,Q32,Q35,Q38,Q41,Q44,Q47,Q50,Q53,Q56,Q59,Q62,Q65,Q68,Q71,Q74,Q77,Q80,Q86,Q89,Q92,Q95,Q98,Q101)</f>
        <v>0</v>
      </c>
      <c r="R107" s="373"/>
      <c r="S107" s="374"/>
      <c r="T107" s="375"/>
      <c r="U107" s="376" t="str">
        <f>IF(TRIM(T107)="", "", IF(VLOOKUP(T107,'Footnotes list'!$D$9:$E$58,2,FALSE)=0,"",VLOOKUP(T107,'Footnotes list'!$D$9:$E$58,2,FALSE) ) )</f>
        <v/>
      </c>
      <c r="V107" s="130">
        <f>SUM(V8,V11,V14,V17,V20,V26,V29,V32,V35,V38,V41,V44,V47,V50,V53,V56,V59,V62,V65,V68,V71,V74,V77,V80,V86,V89,V92,V95,V98,V101)</f>
        <v>0</v>
      </c>
      <c r="W107" s="373"/>
      <c r="X107" s="374"/>
      <c r="Y107" s="375"/>
      <c r="Z107" s="376" t="str">
        <f>IF(TRIM(Y107)="", "", IF(VLOOKUP(Y107,'Footnotes list'!$D$9:$E$58,2,FALSE)=0,"",VLOOKUP(Y107,'Footnotes list'!$D$9:$E$58,2,FALSE) ) )</f>
        <v/>
      </c>
      <c r="AA107" s="130">
        <f>SUM(AA8,AA11,AA14,AA17,AA20,AA26,AA29,AA32,AA35,AA38,AA41,AA44,AA47,AA50,AA53,AA56,AA59,AA62,AA65,AA68,AA71,AA74,AA77,AA80,AA86,AA89,AA92,AA95,AA98,AA101)</f>
        <v>0</v>
      </c>
      <c r="AB107" s="373"/>
      <c r="AC107" s="374"/>
      <c r="AD107" s="375"/>
      <c r="AE107" s="376" t="str">
        <f>IF(TRIM(AD107)="", "", IF(VLOOKUP(AD107,'Footnotes list'!$D$9:$E$58,2,FALSE)=0,"",VLOOKUP(AD107,'Footnotes list'!$D$9:$E$58,2,FALSE) ) )</f>
        <v/>
      </c>
      <c r="AF107" s="130">
        <f>SUM(AF8,AF11,AF14,AF17,AF20,AF26,AF29,AF32,AF35,AF38,AF41,AF44,AF47,AF50,AF53,AF56,AF59,AF62,AF65,AF68,AF71,AF74,AF77,AF80,AF86,AF89,AF92,AF95,AF98,AF101)</f>
        <v>0</v>
      </c>
      <c r="AG107" s="373"/>
      <c r="AH107" s="374"/>
      <c r="AI107" s="375"/>
      <c r="AJ107" s="376" t="str">
        <f>IF(TRIM(AI107)="", "", IF(VLOOKUP(AI107,'Footnotes list'!$D$9:$E$58,2,FALSE)=0,"",VLOOKUP(AI107,'Footnotes list'!$D$9:$E$58,2,FALSE) ) )</f>
        <v/>
      </c>
      <c r="AK107" s="130">
        <f>SUM(AK8,AK11,AK14,AK17,AK20,AK26,AK29,AK32,AK35,AK38,AK41,AK44,AK47,AK50,AK53,AK56,AK59,AK62,AK65,AK68,AK71,AK74,AK77,AK80,AK86,AK89,AK92,AK95,AK98,AK101)</f>
        <v>0</v>
      </c>
      <c r="AL107" s="373"/>
      <c r="AM107" s="374"/>
      <c r="AN107" s="375"/>
      <c r="AO107" s="376" t="str">
        <f>IF(TRIM(AN107)="", "", IF(VLOOKUP(AN107,'Footnotes list'!$D$9:$E$58,2,FALSE)=0,"",VLOOKUP(AN107,'Footnotes list'!$D$9:$E$58,2,FALSE) ) )</f>
        <v/>
      </c>
      <c r="AP107" s="130">
        <f>SUM(AP8,AP11,AP14,AP17,AP20,AP26,AP29,AP32,AP35,AP38,AP41,AP44,AP47,AP50,AP53,AP56,AP59,AP62,AP65,AP68,AP71,AP74,AP77,AP80,AP86,AP89,AP92,AP95,AP98,AP101)</f>
        <v>0</v>
      </c>
      <c r="AQ107" s="373"/>
      <c r="AR107" s="374"/>
      <c r="AS107" s="375"/>
      <c r="AT107" s="376" t="str">
        <f>IF(TRIM(AS107)="", "", IF(VLOOKUP(AS107,'Footnotes list'!$D$9:$E$58,2,FALSE)=0,"",VLOOKUP(AS107,'Footnotes list'!$D$9:$E$58,2,FALSE) ) )</f>
        <v/>
      </c>
      <c r="AU107" s="130">
        <f>SUM(AU8,AU11,AU14,AU17,AU20,AU26,AU29,AU32,AU35,AU38,AU41,AU44,AU47,AU50,AU53,AU56,AU59,AU62,AU65,AU68,AU71,AU74,AU77,AU80,AU86,AU89,AU92,AU95,AU98,AU101)</f>
        <v>0</v>
      </c>
      <c r="AV107" s="373"/>
      <c r="AW107" s="374"/>
      <c r="AX107" s="375"/>
      <c r="AY107" s="376" t="str">
        <f>IF(TRIM(AX107)="", "", IF(VLOOKUP(AX107,'Footnotes list'!$D$9:$E$58,2,FALSE)=0,"",VLOOKUP(AX107,'Footnotes list'!$D$9:$E$58,2,FALSE) ) )</f>
        <v/>
      </c>
    </row>
    <row r="108" spans="2:51" ht="15" customHeight="1" x14ac:dyDescent="0.35">
      <c r="B108" s="535"/>
      <c r="C108" s="50" t="s">
        <v>235</v>
      </c>
      <c r="D108" s="529"/>
      <c r="E108" s="51" t="s">
        <v>145</v>
      </c>
      <c r="F108" s="52" t="s">
        <v>152</v>
      </c>
      <c r="G108" s="131">
        <f t="shared" ref="G108:G109" si="0">SUM(G9,G12,G15,G18,G21,G27,G30,G33,G36,G39,G42,G45,G48,G51,G54,G57,G60,G63,G66,G69,G72,G75,G78,G81,G87,G90,G93,G96,G99,G102)</f>
        <v>0</v>
      </c>
      <c r="H108" s="379"/>
      <c r="I108" s="380"/>
      <c r="J108" s="381"/>
      <c r="K108" s="377" t="str">
        <f>IF(TRIM(J108)="", "", IF(VLOOKUP(J108,'Footnotes list'!$D$9:$E$58,2,FALSE)=0,"",VLOOKUP(J108,'Footnotes list'!$D$9:$E$58,2,FALSE) ) )</f>
        <v/>
      </c>
      <c r="L108" s="131">
        <f t="shared" ref="L108:L109" si="1">SUM(L9,L12,L15,L18,L21,L27,L30,L33,L36,L39,L42,L45,L48,L51,L54,L57,L60,L63,L66,L69,L72,L75,L78,L81,L87,L90,L93,L96,L99,L102)</f>
        <v>0</v>
      </c>
      <c r="M108" s="379"/>
      <c r="N108" s="380"/>
      <c r="O108" s="381"/>
      <c r="P108" s="377" t="str">
        <f>IF(TRIM(O108)="", "", IF(VLOOKUP(O108,'Footnotes list'!$D$9:$E$58,2,FALSE)=0,"",VLOOKUP(O108,'Footnotes list'!$D$9:$E$58,2,FALSE) ) )</f>
        <v/>
      </c>
      <c r="Q108" s="131">
        <f t="shared" ref="Q108:Q109" si="2">SUM(Q9,Q12,Q15,Q18,Q21,Q27,Q30,Q33,Q36,Q39,Q42,Q45,Q48,Q51,Q54,Q57,Q60,Q63,Q66,Q69,Q72,Q75,Q78,Q81,Q87,Q90,Q93,Q96,Q99,Q102)</f>
        <v>0</v>
      </c>
      <c r="R108" s="379"/>
      <c r="S108" s="380"/>
      <c r="T108" s="381"/>
      <c r="U108" s="377" t="str">
        <f>IF(TRIM(T108)="", "", IF(VLOOKUP(T108,'Footnotes list'!$D$9:$E$58,2,FALSE)=0,"",VLOOKUP(T108,'Footnotes list'!$D$9:$E$58,2,FALSE) ) )</f>
        <v/>
      </c>
      <c r="V108" s="131">
        <f t="shared" ref="V108:V109" si="3">SUM(V9,V12,V15,V18,V21,V27,V30,V33,V36,V39,V42,V45,V48,V51,V54,V57,V60,V63,V66,V69,V72,V75,V78,V81,V87,V90,V93,V96,V99,V102)</f>
        <v>0</v>
      </c>
      <c r="W108" s="379"/>
      <c r="X108" s="380"/>
      <c r="Y108" s="381"/>
      <c r="Z108" s="377" t="str">
        <f>IF(TRIM(Y108)="", "", IF(VLOOKUP(Y108,'Footnotes list'!$D$9:$E$58,2,FALSE)=0,"",VLOOKUP(Y108,'Footnotes list'!$D$9:$E$58,2,FALSE) ) )</f>
        <v/>
      </c>
      <c r="AA108" s="129">
        <f t="shared" ref="AA108:AA109" si="4">SUM(AA9,AA12,AA15,AA18,AA21,AA27,AA30,AA33,AA36,AA39,AA42,AA45,AA48,AA51,AA54,AA57,AA60,AA63,AA66,AA69,AA72,AA75,AA78,AA81,AA87,AA90,AA93,AA96,AA99,AA102)</f>
        <v>0</v>
      </c>
      <c r="AB108" s="379"/>
      <c r="AC108" s="380"/>
      <c r="AD108" s="381"/>
      <c r="AE108" s="377" t="str">
        <f>IF(TRIM(AD108)="", "", IF(VLOOKUP(AD108,'Footnotes list'!$D$9:$E$58,2,FALSE)=0,"",VLOOKUP(AD108,'Footnotes list'!$D$9:$E$58,2,FALSE) ) )</f>
        <v/>
      </c>
      <c r="AF108" s="131">
        <f t="shared" ref="AF108:AF109" si="5">SUM(AF9,AF12,AF15,AF18,AF21,AF27,AF30,AF33,AF36,AF39,AF42,AF45,AF48,AF51,AF54,AF57,AF60,AF63,AF66,AF69,AF72,AF75,AF78,AF81,AF87,AF90,AF93,AF96,AF99,AF102)</f>
        <v>0</v>
      </c>
      <c r="AG108" s="379"/>
      <c r="AH108" s="380"/>
      <c r="AI108" s="381"/>
      <c r="AJ108" s="377" t="str">
        <f>IF(TRIM(AI108)="", "", IF(VLOOKUP(AI108,'Footnotes list'!$D$9:$E$58,2,FALSE)=0,"",VLOOKUP(AI108,'Footnotes list'!$D$9:$E$58,2,FALSE) ) )</f>
        <v/>
      </c>
      <c r="AK108" s="131">
        <f t="shared" ref="AK108:AK109" si="6">SUM(AK9,AK12,AK15,AK18,AK21,AK27,AK30,AK33,AK36,AK39,AK42,AK45,AK48,AK51,AK54,AK57,AK60,AK63,AK66,AK69,AK72,AK75,AK78,AK81,AK87,AK90,AK93,AK96,AK99,AK102)</f>
        <v>0</v>
      </c>
      <c r="AL108" s="379"/>
      <c r="AM108" s="380"/>
      <c r="AN108" s="381"/>
      <c r="AO108" s="377" t="str">
        <f>IF(TRIM(AN108)="", "", IF(VLOOKUP(AN108,'Footnotes list'!$D$9:$E$58,2,FALSE)=0,"",VLOOKUP(AN108,'Footnotes list'!$D$9:$E$58,2,FALSE) ) )</f>
        <v/>
      </c>
      <c r="AP108" s="131">
        <f t="shared" ref="AP108:AP109" si="7">SUM(AP9,AP12,AP15,AP18,AP21,AP27,AP30,AP33,AP36,AP39,AP42,AP45,AP48,AP51,AP54,AP57,AP60,AP63,AP66,AP69,AP72,AP75,AP78,AP81,AP87,AP90,AP93,AP96,AP99,AP102)</f>
        <v>0</v>
      </c>
      <c r="AQ108" s="379"/>
      <c r="AR108" s="380"/>
      <c r="AS108" s="381"/>
      <c r="AT108" s="377" t="str">
        <f>IF(TRIM(AS108)="", "", IF(VLOOKUP(AS108,'Footnotes list'!$D$9:$E$58,2,FALSE)=0,"",VLOOKUP(AS108,'Footnotes list'!$D$9:$E$58,2,FALSE) ) )</f>
        <v/>
      </c>
      <c r="AU108" s="131">
        <f t="shared" ref="AU108:AU109" si="8">SUM(AU9,AU12,AU15,AU18,AU21,AU27,AU30,AU33,AU36,AU39,AU42,AU45,AU48,AU51,AU54,AU57,AU60,AU63,AU66,AU69,AU72,AU75,AU78,AU81,AU87,AU90,AU93,AU96,AU99,AU102)</f>
        <v>0</v>
      </c>
      <c r="AV108" s="379"/>
      <c r="AW108" s="380"/>
      <c r="AX108" s="381"/>
      <c r="AY108" s="377" t="str">
        <f>IF(TRIM(AX108)="", "", IF(VLOOKUP(AX108,'Footnotes list'!$D$9:$E$58,2,FALSE)=0,"",VLOOKUP(AX108,'Footnotes list'!$D$9:$E$58,2,FALSE) ) )</f>
        <v/>
      </c>
    </row>
    <row r="109" spans="2:51" ht="15" customHeight="1" thickBot="1" x14ac:dyDescent="0.4">
      <c r="B109" s="536"/>
      <c r="C109" s="53" t="s">
        <v>235</v>
      </c>
      <c r="D109" s="530"/>
      <c r="E109" s="47" t="s">
        <v>146</v>
      </c>
      <c r="F109" s="54" t="s">
        <v>234</v>
      </c>
      <c r="G109" s="127">
        <f t="shared" si="0"/>
        <v>0</v>
      </c>
      <c r="H109" s="379"/>
      <c r="I109" s="380"/>
      <c r="J109" s="381"/>
      <c r="K109" s="377" t="str">
        <f>IF(TRIM(J109)="", "", IF(VLOOKUP(J109,'Footnotes list'!$D$9:$E$58,2,FALSE)=0,"",VLOOKUP(J109,'Footnotes list'!$D$9:$E$58,2,FALSE) ) )</f>
        <v/>
      </c>
      <c r="L109" s="132">
        <f t="shared" si="1"/>
        <v>0</v>
      </c>
      <c r="M109" s="379"/>
      <c r="N109" s="380"/>
      <c r="O109" s="381"/>
      <c r="P109" s="377" t="str">
        <f>IF(TRIM(O109)="", "", IF(VLOOKUP(O109,'Footnotes list'!$D$9:$E$58,2,FALSE)=0,"",VLOOKUP(O109,'Footnotes list'!$D$9:$E$58,2,FALSE) ) )</f>
        <v/>
      </c>
      <c r="Q109" s="132">
        <f t="shared" si="2"/>
        <v>0</v>
      </c>
      <c r="R109" s="379"/>
      <c r="S109" s="380"/>
      <c r="T109" s="381"/>
      <c r="U109" s="377" t="str">
        <f>IF(TRIM(T109)="", "", IF(VLOOKUP(T109,'Footnotes list'!$D$9:$E$58,2,FALSE)=0,"",VLOOKUP(T109,'Footnotes list'!$D$9:$E$58,2,FALSE) ) )</f>
        <v/>
      </c>
      <c r="V109" s="132">
        <f t="shared" si="3"/>
        <v>0</v>
      </c>
      <c r="W109" s="379"/>
      <c r="X109" s="380"/>
      <c r="Y109" s="381"/>
      <c r="Z109" s="377" t="str">
        <f>IF(TRIM(Y109)="", "", IF(VLOOKUP(Y109,'Footnotes list'!$D$9:$E$58,2,FALSE)=0,"",VLOOKUP(Y109,'Footnotes list'!$D$9:$E$58,2,FALSE) ) )</f>
        <v/>
      </c>
      <c r="AA109" s="127">
        <f t="shared" si="4"/>
        <v>0</v>
      </c>
      <c r="AB109" s="379"/>
      <c r="AC109" s="380"/>
      <c r="AD109" s="381"/>
      <c r="AE109" s="377" t="str">
        <f>IF(TRIM(AD109)="", "", IF(VLOOKUP(AD109,'Footnotes list'!$D$9:$E$58,2,FALSE)=0,"",VLOOKUP(AD109,'Footnotes list'!$D$9:$E$58,2,FALSE) ) )</f>
        <v/>
      </c>
      <c r="AF109" s="132">
        <f t="shared" si="5"/>
        <v>0</v>
      </c>
      <c r="AG109" s="379"/>
      <c r="AH109" s="380"/>
      <c r="AI109" s="381"/>
      <c r="AJ109" s="377" t="str">
        <f>IF(TRIM(AI109)="", "", IF(VLOOKUP(AI109,'Footnotes list'!$D$9:$E$58,2,FALSE)=0,"",VLOOKUP(AI109,'Footnotes list'!$D$9:$E$58,2,FALSE) ) )</f>
        <v/>
      </c>
      <c r="AK109" s="132">
        <f t="shared" si="6"/>
        <v>0</v>
      </c>
      <c r="AL109" s="379"/>
      <c r="AM109" s="380"/>
      <c r="AN109" s="381"/>
      <c r="AO109" s="377" t="str">
        <f>IF(TRIM(AN109)="", "", IF(VLOOKUP(AN109,'Footnotes list'!$D$9:$E$58,2,FALSE)=0,"",VLOOKUP(AN109,'Footnotes list'!$D$9:$E$58,2,FALSE) ) )</f>
        <v/>
      </c>
      <c r="AP109" s="132">
        <f t="shared" si="7"/>
        <v>0</v>
      </c>
      <c r="AQ109" s="379"/>
      <c r="AR109" s="380"/>
      <c r="AS109" s="381"/>
      <c r="AT109" s="377" t="str">
        <f>IF(TRIM(AS109)="", "", IF(VLOOKUP(AS109,'Footnotes list'!$D$9:$E$58,2,FALSE)=0,"",VLOOKUP(AS109,'Footnotes list'!$D$9:$E$58,2,FALSE) ) )</f>
        <v/>
      </c>
      <c r="AU109" s="127">
        <f t="shared" si="8"/>
        <v>0</v>
      </c>
      <c r="AV109" s="379"/>
      <c r="AW109" s="380"/>
      <c r="AX109" s="381"/>
      <c r="AY109" s="377" t="str">
        <f>IF(TRIM(AX109)="", "", IF(VLOOKUP(AX109,'Footnotes list'!$D$9:$E$58,2,FALSE)=0,"",VLOOKUP(AX109,'Footnotes list'!$D$9:$E$58,2,FALSE) ) )</f>
        <v/>
      </c>
    </row>
    <row r="110" spans="2:51" ht="15" customHeight="1" x14ac:dyDescent="0.35">
      <c r="B110" s="534" t="s">
        <v>237</v>
      </c>
      <c r="C110" s="41" t="s">
        <v>237</v>
      </c>
      <c r="D110" s="528" t="s">
        <v>238</v>
      </c>
      <c r="E110" s="42" t="s">
        <v>144</v>
      </c>
      <c r="F110" s="43" t="s">
        <v>151</v>
      </c>
      <c r="G110" s="130">
        <f>SUM(G23,G83,G104)</f>
        <v>0</v>
      </c>
      <c r="H110" s="373"/>
      <c r="I110" s="374"/>
      <c r="J110" s="375"/>
      <c r="K110" s="376" t="str">
        <f>IF(TRIM(J110)="", "", IF(VLOOKUP(J110,'Footnotes list'!$D$9:$E$58,2,FALSE)=0,"",VLOOKUP(J110,'Footnotes list'!$D$9:$E$58,2,FALSE) ) )</f>
        <v/>
      </c>
      <c r="L110" s="130">
        <f>SUM(L23,L83,L104)</f>
        <v>0</v>
      </c>
      <c r="M110" s="373"/>
      <c r="N110" s="374"/>
      <c r="O110" s="375"/>
      <c r="P110" s="376" t="str">
        <f>IF(TRIM(O110)="", "", IF(VLOOKUP(O110,'Footnotes list'!$D$9:$E$58,2,FALSE)=0,"",VLOOKUP(O110,'Footnotes list'!$D$9:$E$58,2,FALSE) ) )</f>
        <v/>
      </c>
      <c r="Q110" s="130">
        <f>SUM(Q23,Q83,Q104)</f>
        <v>0</v>
      </c>
      <c r="R110" s="373"/>
      <c r="S110" s="374"/>
      <c r="T110" s="375"/>
      <c r="U110" s="376" t="str">
        <f>IF(TRIM(T110)="", "", IF(VLOOKUP(T110,'Footnotes list'!$D$9:$E$58,2,FALSE)=0,"",VLOOKUP(T110,'Footnotes list'!$D$9:$E$58,2,FALSE) ) )</f>
        <v/>
      </c>
      <c r="V110" s="130">
        <f>SUM(V23,V83,V104)</f>
        <v>0</v>
      </c>
      <c r="W110" s="373"/>
      <c r="X110" s="374"/>
      <c r="Y110" s="375"/>
      <c r="Z110" s="376" t="str">
        <f>IF(TRIM(Y110)="", "", IF(VLOOKUP(Y110,'Footnotes list'!$D$9:$E$58,2,FALSE)=0,"",VLOOKUP(Y110,'Footnotes list'!$D$9:$E$58,2,FALSE) ) )</f>
        <v/>
      </c>
      <c r="AA110" s="130">
        <f>SUM(AA23,AA83,AA104)</f>
        <v>0</v>
      </c>
      <c r="AB110" s="373"/>
      <c r="AC110" s="374"/>
      <c r="AD110" s="375"/>
      <c r="AE110" s="376" t="str">
        <f>IF(TRIM(AD110)="", "", IF(VLOOKUP(AD110,'Footnotes list'!$D$9:$E$58,2,FALSE)=0,"",VLOOKUP(AD110,'Footnotes list'!$D$9:$E$58,2,FALSE) ) )</f>
        <v/>
      </c>
      <c r="AF110" s="130">
        <f>SUM(AF23,AF83,AF104)</f>
        <v>0</v>
      </c>
      <c r="AG110" s="373"/>
      <c r="AH110" s="374"/>
      <c r="AI110" s="375"/>
      <c r="AJ110" s="376" t="str">
        <f>IF(TRIM(AI110)="", "", IF(VLOOKUP(AI110,'Footnotes list'!$D$9:$E$58,2,FALSE)=0,"",VLOOKUP(AI110,'Footnotes list'!$D$9:$E$58,2,FALSE) ) )</f>
        <v/>
      </c>
      <c r="AK110" s="130">
        <f>SUM(AK23,AK83,AK104)</f>
        <v>0</v>
      </c>
      <c r="AL110" s="373"/>
      <c r="AM110" s="374"/>
      <c r="AN110" s="375"/>
      <c r="AO110" s="376" t="str">
        <f>IF(TRIM(AN110)="", "", IF(VLOOKUP(AN110,'Footnotes list'!$D$9:$E$58,2,FALSE)=0,"",VLOOKUP(AN110,'Footnotes list'!$D$9:$E$58,2,FALSE) ) )</f>
        <v/>
      </c>
      <c r="AP110" s="130">
        <f>SUM(AP23,AP83,AP104)</f>
        <v>0</v>
      </c>
      <c r="AQ110" s="373"/>
      <c r="AR110" s="374"/>
      <c r="AS110" s="375"/>
      <c r="AT110" s="376" t="str">
        <f>IF(TRIM(AS110)="", "", IF(VLOOKUP(AS110,'Footnotes list'!$D$9:$E$58,2,FALSE)=0,"",VLOOKUP(AS110,'Footnotes list'!$D$9:$E$58,2,FALSE) ) )</f>
        <v/>
      </c>
      <c r="AU110" s="130">
        <f>SUM(AU23,AU83,AU104)</f>
        <v>0</v>
      </c>
      <c r="AV110" s="373"/>
      <c r="AW110" s="374"/>
      <c r="AX110" s="375"/>
      <c r="AY110" s="376" t="str">
        <f>IF(TRIM(AX110)="", "", IF(VLOOKUP(AX110,'Footnotes list'!$D$9:$E$58,2,FALSE)=0,"",VLOOKUP(AX110,'Footnotes list'!$D$9:$E$58,2,FALSE) ) )</f>
        <v/>
      </c>
    </row>
    <row r="111" spans="2:51" ht="15" customHeight="1" x14ac:dyDescent="0.35">
      <c r="B111" s="535"/>
      <c r="C111" s="50" t="s">
        <v>237</v>
      </c>
      <c r="D111" s="529"/>
      <c r="E111" s="51" t="s">
        <v>145</v>
      </c>
      <c r="F111" s="52" t="s">
        <v>152</v>
      </c>
      <c r="G111" s="131">
        <f t="shared" ref="G111:G112" si="9">SUM(G24,G84,G105)</f>
        <v>0</v>
      </c>
      <c r="H111" s="379"/>
      <c r="I111" s="380"/>
      <c r="J111" s="381"/>
      <c r="K111" s="377" t="str">
        <f>IF(TRIM(J111)="", "", IF(VLOOKUP(J111,'Footnotes list'!$D$9:$E$58,2,FALSE)=0,"",VLOOKUP(J111,'Footnotes list'!$D$9:$E$58,2,FALSE) ) )</f>
        <v/>
      </c>
      <c r="L111" s="131">
        <f t="shared" ref="L111:L112" si="10">SUM(L24,L84,L105)</f>
        <v>0</v>
      </c>
      <c r="M111" s="379"/>
      <c r="N111" s="380"/>
      <c r="O111" s="381"/>
      <c r="P111" s="377" t="str">
        <f>IF(TRIM(O111)="", "", IF(VLOOKUP(O111,'Footnotes list'!$D$9:$E$58,2,FALSE)=0,"",VLOOKUP(O111,'Footnotes list'!$D$9:$E$58,2,FALSE) ) )</f>
        <v/>
      </c>
      <c r="Q111" s="131">
        <f t="shared" ref="Q111:Q112" si="11">SUM(Q24,Q84,Q105)</f>
        <v>0</v>
      </c>
      <c r="R111" s="379"/>
      <c r="S111" s="380"/>
      <c r="T111" s="381"/>
      <c r="U111" s="377" t="str">
        <f>IF(TRIM(T111)="", "", IF(VLOOKUP(T111,'Footnotes list'!$D$9:$E$58,2,FALSE)=0,"",VLOOKUP(T111,'Footnotes list'!$D$9:$E$58,2,FALSE) ) )</f>
        <v/>
      </c>
      <c r="V111" s="131">
        <f t="shared" ref="V111:V112" si="12">SUM(V24,V84,V105)</f>
        <v>0</v>
      </c>
      <c r="W111" s="379"/>
      <c r="X111" s="380"/>
      <c r="Y111" s="381"/>
      <c r="Z111" s="377" t="str">
        <f>IF(TRIM(Y111)="", "", IF(VLOOKUP(Y111,'Footnotes list'!$D$9:$E$58,2,FALSE)=0,"",VLOOKUP(Y111,'Footnotes list'!$D$9:$E$58,2,FALSE) ) )</f>
        <v/>
      </c>
      <c r="AA111" s="131">
        <f t="shared" ref="AA111:AA112" si="13">SUM(AA24,AA84,AA105)</f>
        <v>0</v>
      </c>
      <c r="AB111" s="379"/>
      <c r="AC111" s="380"/>
      <c r="AD111" s="381"/>
      <c r="AE111" s="377" t="str">
        <f>IF(TRIM(AD111)="", "", IF(VLOOKUP(AD111,'Footnotes list'!$D$9:$E$58,2,FALSE)=0,"",VLOOKUP(AD111,'Footnotes list'!$D$9:$E$58,2,FALSE) ) )</f>
        <v/>
      </c>
      <c r="AF111" s="131">
        <f t="shared" ref="AF111:AF112" si="14">SUM(AF24,AF84,AF105)</f>
        <v>0</v>
      </c>
      <c r="AG111" s="379"/>
      <c r="AH111" s="380"/>
      <c r="AI111" s="381"/>
      <c r="AJ111" s="377" t="str">
        <f>IF(TRIM(AI111)="", "", IF(VLOOKUP(AI111,'Footnotes list'!$D$9:$E$58,2,FALSE)=0,"",VLOOKUP(AI111,'Footnotes list'!$D$9:$E$58,2,FALSE) ) )</f>
        <v/>
      </c>
      <c r="AK111" s="131">
        <f t="shared" ref="AK111:AK112" si="15">SUM(AK24,AK84,AK105)</f>
        <v>0</v>
      </c>
      <c r="AL111" s="379"/>
      <c r="AM111" s="380"/>
      <c r="AN111" s="381"/>
      <c r="AO111" s="377" t="str">
        <f>IF(TRIM(AN111)="", "", IF(VLOOKUP(AN111,'Footnotes list'!$D$9:$E$58,2,FALSE)=0,"",VLOOKUP(AN111,'Footnotes list'!$D$9:$E$58,2,FALSE) ) )</f>
        <v/>
      </c>
      <c r="AP111" s="131">
        <f t="shared" ref="AP111:AP112" si="16">SUM(AP24,AP84,AP105)</f>
        <v>0</v>
      </c>
      <c r="AQ111" s="379"/>
      <c r="AR111" s="380"/>
      <c r="AS111" s="381"/>
      <c r="AT111" s="377" t="str">
        <f>IF(TRIM(AS111)="", "", IF(VLOOKUP(AS111,'Footnotes list'!$D$9:$E$58,2,FALSE)=0,"",VLOOKUP(AS111,'Footnotes list'!$D$9:$E$58,2,FALSE) ) )</f>
        <v/>
      </c>
      <c r="AU111" s="131">
        <f t="shared" ref="AU111:AU112" si="17">SUM(AU24,AU84,AU105)</f>
        <v>0</v>
      </c>
      <c r="AV111" s="379"/>
      <c r="AW111" s="380"/>
      <c r="AX111" s="381"/>
      <c r="AY111" s="377" t="str">
        <f>IF(TRIM(AX111)="", "", IF(VLOOKUP(AX111,'Footnotes list'!$D$9:$E$58,2,FALSE)=0,"",VLOOKUP(AX111,'Footnotes list'!$D$9:$E$58,2,FALSE) ) )</f>
        <v/>
      </c>
    </row>
    <row r="112" spans="2:51" ht="15" customHeight="1" thickBot="1" x14ac:dyDescent="0.4">
      <c r="B112" s="536"/>
      <c r="C112" s="53" t="s">
        <v>237</v>
      </c>
      <c r="D112" s="530"/>
      <c r="E112" s="47" t="s">
        <v>146</v>
      </c>
      <c r="F112" s="54" t="s">
        <v>234</v>
      </c>
      <c r="G112" s="132">
        <f t="shared" si="9"/>
        <v>0</v>
      </c>
      <c r="H112" s="379"/>
      <c r="I112" s="380"/>
      <c r="J112" s="381"/>
      <c r="K112" s="377" t="str">
        <f>IF(TRIM(J112)="", "", IF(VLOOKUP(J112,'Footnotes list'!$D$9:$E$58,2,FALSE)=0,"",VLOOKUP(J112,'Footnotes list'!$D$9:$E$58,2,FALSE) ) )</f>
        <v/>
      </c>
      <c r="L112" s="132">
        <f t="shared" si="10"/>
        <v>0</v>
      </c>
      <c r="M112" s="379"/>
      <c r="N112" s="380"/>
      <c r="O112" s="381"/>
      <c r="P112" s="377" t="str">
        <f>IF(TRIM(O112)="", "", IF(VLOOKUP(O112,'Footnotes list'!$D$9:$E$58,2,FALSE)=0,"",VLOOKUP(O112,'Footnotes list'!$D$9:$E$58,2,FALSE) ) )</f>
        <v/>
      </c>
      <c r="Q112" s="132">
        <f t="shared" si="11"/>
        <v>0</v>
      </c>
      <c r="R112" s="379"/>
      <c r="S112" s="380"/>
      <c r="T112" s="381"/>
      <c r="U112" s="377" t="str">
        <f>IF(TRIM(T112)="", "", IF(VLOOKUP(T112,'Footnotes list'!$D$9:$E$58,2,FALSE)=0,"",VLOOKUP(T112,'Footnotes list'!$D$9:$E$58,2,FALSE) ) )</f>
        <v/>
      </c>
      <c r="V112" s="132">
        <f t="shared" si="12"/>
        <v>0</v>
      </c>
      <c r="W112" s="379"/>
      <c r="X112" s="380"/>
      <c r="Y112" s="381"/>
      <c r="Z112" s="377" t="str">
        <f>IF(TRIM(Y112)="", "", IF(VLOOKUP(Y112,'Footnotes list'!$D$9:$E$58,2,FALSE)=0,"",VLOOKUP(Y112,'Footnotes list'!$D$9:$E$58,2,FALSE) ) )</f>
        <v/>
      </c>
      <c r="AA112" s="132">
        <f t="shared" si="13"/>
        <v>0</v>
      </c>
      <c r="AB112" s="379"/>
      <c r="AC112" s="380"/>
      <c r="AD112" s="381"/>
      <c r="AE112" s="377" t="str">
        <f>IF(TRIM(AD112)="", "", IF(VLOOKUP(AD112,'Footnotes list'!$D$9:$E$58,2,FALSE)=0,"",VLOOKUP(AD112,'Footnotes list'!$D$9:$E$58,2,FALSE) ) )</f>
        <v/>
      </c>
      <c r="AF112" s="132">
        <f t="shared" si="14"/>
        <v>0</v>
      </c>
      <c r="AG112" s="379"/>
      <c r="AH112" s="380"/>
      <c r="AI112" s="381"/>
      <c r="AJ112" s="377" t="str">
        <f>IF(TRIM(AI112)="", "", IF(VLOOKUP(AI112,'Footnotes list'!$D$9:$E$58,2,FALSE)=0,"",VLOOKUP(AI112,'Footnotes list'!$D$9:$E$58,2,FALSE) ) )</f>
        <v/>
      </c>
      <c r="AK112" s="132">
        <f t="shared" si="15"/>
        <v>0</v>
      </c>
      <c r="AL112" s="379"/>
      <c r="AM112" s="380"/>
      <c r="AN112" s="381"/>
      <c r="AO112" s="377" t="str">
        <f>IF(TRIM(AN112)="", "", IF(VLOOKUP(AN112,'Footnotes list'!$D$9:$E$58,2,FALSE)=0,"",VLOOKUP(AN112,'Footnotes list'!$D$9:$E$58,2,FALSE) ) )</f>
        <v/>
      </c>
      <c r="AP112" s="132">
        <f t="shared" si="16"/>
        <v>0</v>
      </c>
      <c r="AQ112" s="379"/>
      <c r="AR112" s="380"/>
      <c r="AS112" s="381"/>
      <c r="AT112" s="377" t="str">
        <f>IF(TRIM(AS112)="", "", IF(VLOOKUP(AS112,'Footnotes list'!$D$9:$E$58,2,FALSE)=0,"",VLOOKUP(AS112,'Footnotes list'!$D$9:$E$58,2,FALSE) ) )</f>
        <v/>
      </c>
      <c r="AU112" s="132">
        <f t="shared" si="17"/>
        <v>0</v>
      </c>
      <c r="AV112" s="379"/>
      <c r="AW112" s="380"/>
      <c r="AX112" s="381"/>
      <c r="AY112" s="377" t="str">
        <f>IF(TRIM(AX112)="", "", IF(VLOOKUP(AX112,'Footnotes list'!$D$9:$E$58,2,FALSE)=0,"",VLOOKUP(AX112,'Footnotes list'!$D$9:$E$58,2,FALSE) ) )</f>
        <v/>
      </c>
    </row>
    <row r="113" spans="2:51" ht="15" customHeight="1" x14ac:dyDescent="0.35">
      <c r="B113" s="534" t="s">
        <v>429</v>
      </c>
      <c r="C113" s="41" t="s">
        <v>429</v>
      </c>
      <c r="D113" s="528" t="s">
        <v>278</v>
      </c>
      <c r="E113" s="42" t="s">
        <v>144</v>
      </c>
      <c r="F113" s="43" t="s">
        <v>151</v>
      </c>
      <c r="G113" s="130">
        <f>SUM(G8,G11,G14,G17,G20,G23,G26,G29,G32,G35,G38,G41,G44,G47,G50,G53,G56,G59,G62,G65,G68,G71,G74,G77,G80,G83,G86,G95,G104)</f>
        <v>0</v>
      </c>
      <c r="H113" s="373"/>
      <c r="I113" s="374"/>
      <c r="J113" s="375"/>
      <c r="K113" s="376" t="str">
        <f>IF(TRIM(J113)="", "", IF(VLOOKUP(J113,'Footnotes list'!$D$9:$E$58,2,FALSE)=0,"",VLOOKUP(J113,'Footnotes list'!$D$9:$E$58,2,FALSE) ) )</f>
        <v/>
      </c>
      <c r="L113" s="130">
        <f>SUM(L8,L11,L14,L17,L20,L23,L26,L29,L32,L35,L38,L41,L44,L47,L50,L53,L56,L59,L62,L65,L68,L71,L74,L77,L80,L83,L86,L95,L104)</f>
        <v>0</v>
      </c>
      <c r="M113" s="373"/>
      <c r="N113" s="374"/>
      <c r="O113" s="375"/>
      <c r="P113" s="376" t="str">
        <f>IF(TRIM(O113)="", "", IF(VLOOKUP(O113,'Footnotes list'!$D$9:$E$58,2,FALSE)=0,"",VLOOKUP(O113,'Footnotes list'!$D$9:$E$58,2,FALSE) ) )</f>
        <v/>
      </c>
      <c r="Q113" s="130">
        <f>SUM(Q8,Q11,Q14,Q17,Q20,Q23,Q26,Q29,Q32,Q35,Q38,Q41,Q44,Q47,Q50,Q53,Q56,Q59,Q62,Q65,Q68,Q71,Q74,Q77,Q80,Q83,Q86,Q95,Q104)</f>
        <v>0</v>
      </c>
      <c r="R113" s="373"/>
      <c r="S113" s="374"/>
      <c r="T113" s="375"/>
      <c r="U113" s="376" t="str">
        <f>IF(TRIM(T113)="", "", IF(VLOOKUP(T113,'Footnotes list'!$D$9:$E$58,2,FALSE)=0,"",VLOOKUP(T113,'Footnotes list'!$D$9:$E$58,2,FALSE) ) )</f>
        <v/>
      </c>
      <c r="V113" s="130">
        <f>SUM(V8,V11,V14,V17,V20,V23,V26,V29,V32,V35,V38,V41,V44,V47,V50,V53,V56,V59,V62,V65,V68,V71,V74,V77,V80,V83,V86,V95,V104)</f>
        <v>0</v>
      </c>
      <c r="W113" s="373"/>
      <c r="X113" s="374"/>
      <c r="Y113" s="375"/>
      <c r="Z113" s="376" t="str">
        <f>IF(TRIM(Y113)="", "", IF(VLOOKUP(Y113,'Footnotes list'!$D$9:$E$58,2,FALSE)=0,"",VLOOKUP(Y113,'Footnotes list'!$D$9:$E$58,2,FALSE) ) )</f>
        <v/>
      </c>
      <c r="AA113" s="130">
        <f>SUM(AA8,AA11,AA14,AA17,AA20,AA23,AA26,AA29,AA32,AA35,AA38,AA41,AA44,AA47,AA50,AA53,AA56,AA59,AA62,AA65,AA68,AA71,AA74,AA77,AA80,AA83,AA86,AA95,AA104)</f>
        <v>0</v>
      </c>
      <c r="AB113" s="373"/>
      <c r="AC113" s="374"/>
      <c r="AD113" s="375"/>
      <c r="AE113" s="376" t="str">
        <f>IF(TRIM(AD113)="", "", IF(VLOOKUP(AD113,'Footnotes list'!$D$9:$E$58,2,FALSE)=0,"",VLOOKUP(AD113,'Footnotes list'!$D$9:$E$58,2,FALSE) ) )</f>
        <v/>
      </c>
      <c r="AF113" s="130">
        <f>SUM(AF8,AF11,AF14,AF17,AF20,AF23,AF26,AF29,AF32,AF35,AF38,AF41,AF44,AF47,AF50,AF53,AF56,AF59,AF62,AF65,AF68,AF71,AF74,AF77,AF80,AF83,AF86,AF95,AF104)</f>
        <v>0</v>
      </c>
      <c r="AG113" s="373"/>
      <c r="AH113" s="374"/>
      <c r="AI113" s="375"/>
      <c r="AJ113" s="376" t="str">
        <f>IF(TRIM(AI113)="", "", IF(VLOOKUP(AI113,'Footnotes list'!$D$9:$E$58,2,FALSE)=0,"",VLOOKUP(AI113,'Footnotes list'!$D$9:$E$58,2,FALSE) ) )</f>
        <v/>
      </c>
      <c r="AK113" s="130">
        <f>SUM(AK8,AK11,AK14,AK17,AK20,AK23,AK26,AK29,AK32,AK35,AK38,AK41,AK44,AK47,AK50,AK53,AK56,AK59,AK62,AK65,AK68,AK71,AK74,AK77,AK80,AK83,AK86,AK95,AK104)</f>
        <v>0</v>
      </c>
      <c r="AL113" s="373"/>
      <c r="AM113" s="374"/>
      <c r="AN113" s="375"/>
      <c r="AO113" s="376" t="str">
        <f>IF(TRIM(AN113)="", "", IF(VLOOKUP(AN113,'Footnotes list'!$D$9:$E$58,2,FALSE)=0,"",VLOOKUP(AN113,'Footnotes list'!$D$9:$E$58,2,FALSE) ) )</f>
        <v/>
      </c>
      <c r="AP113" s="130">
        <f>SUM(AP8,AP11,AP14,AP17,AP20,AP23,AP26,AP29,AP32,AP35,AP38,AP41,AP44,AP47,AP50,AP53,AP56,AP59,AP62,AP65,AP68,AP71,AP74,AP77,AP80,AP83,AP86,AP95,AP104)</f>
        <v>0</v>
      </c>
      <c r="AQ113" s="373"/>
      <c r="AR113" s="374"/>
      <c r="AS113" s="375"/>
      <c r="AT113" s="376" t="str">
        <f>IF(TRIM(AS113)="", "", IF(VLOOKUP(AS113,'Footnotes list'!$D$9:$E$58,2,FALSE)=0,"",VLOOKUP(AS113,'Footnotes list'!$D$9:$E$58,2,FALSE) ) )</f>
        <v/>
      </c>
      <c r="AU113" s="130">
        <f>SUM(AU8,AU11,AU14,AU17,AU20,AU23,AU26,AU29,AU32,AU35,AU38,AU41,AU44,AU47,AU50,AU53,AU56,AU59,AU62,AU65,AU68,AU71,AU74,AU77,AU80,AU83,AU86,AU95,AU104)</f>
        <v>0</v>
      </c>
      <c r="AV113" s="373"/>
      <c r="AW113" s="374"/>
      <c r="AX113" s="375"/>
      <c r="AY113" s="376" t="str">
        <f>IF(TRIM(AX113)="", "", IF(VLOOKUP(AX113,'Footnotes list'!$D$9:$E$58,2,FALSE)=0,"",VLOOKUP(AX113,'Footnotes list'!$D$9:$E$58,2,FALSE) ) )</f>
        <v/>
      </c>
    </row>
    <row r="114" spans="2:51" ht="15" customHeight="1" x14ac:dyDescent="0.35">
      <c r="B114" s="535"/>
      <c r="C114" s="50" t="s">
        <v>429</v>
      </c>
      <c r="D114" s="529"/>
      <c r="E114" s="51" t="s">
        <v>145</v>
      </c>
      <c r="F114" s="52" t="s">
        <v>152</v>
      </c>
      <c r="G114" s="131">
        <f t="shared" ref="G114:G115" si="18">SUM(G9,G12,G15,G18,G21,G24,G27,G30,G33,G36,G39,G42,G45,G48,G51,G54,G57,G60,G63,G66,G69,G72,G75,G78,G81,G84,G87,G96,G105)</f>
        <v>0</v>
      </c>
      <c r="H114" s="379"/>
      <c r="I114" s="380"/>
      <c r="J114" s="381"/>
      <c r="K114" s="377" t="str">
        <f>IF(TRIM(J114)="", "", IF(VLOOKUP(J114,'Footnotes list'!$D$9:$E$58,2,FALSE)=0,"",VLOOKUP(J114,'Footnotes list'!$D$9:$E$58,2,FALSE) ) )</f>
        <v/>
      </c>
      <c r="L114" s="131">
        <f t="shared" ref="L114:L115" si="19">SUM(L9,L12,L15,L18,L21,L24,L27,L30,L33,L36,L39,L42,L45,L48,L51,L54,L57,L60,L63,L66,L69,L72,L75,L78,L81,L84,L87,L96,L105)</f>
        <v>0</v>
      </c>
      <c r="M114" s="379"/>
      <c r="N114" s="380"/>
      <c r="O114" s="381"/>
      <c r="P114" s="377" t="str">
        <f>IF(TRIM(O114)="", "", IF(VLOOKUP(O114,'Footnotes list'!$D$9:$E$58,2,FALSE)=0,"",VLOOKUP(O114,'Footnotes list'!$D$9:$E$58,2,FALSE) ) )</f>
        <v/>
      </c>
      <c r="Q114" s="131">
        <f t="shared" ref="Q114:Q115" si="20">SUM(Q9,Q12,Q15,Q18,Q21,Q24,Q27,Q30,Q33,Q36,Q39,Q42,Q45,Q48,Q51,Q54,Q57,Q60,Q63,Q66,Q69,Q72,Q75,Q78,Q81,Q84,Q87,Q96,Q105)</f>
        <v>0</v>
      </c>
      <c r="R114" s="379"/>
      <c r="S114" s="380"/>
      <c r="T114" s="381"/>
      <c r="U114" s="377" t="str">
        <f>IF(TRIM(T114)="", "", IF(VLOOKUP(T114,'Footnotes list'!$D$9:$E$58,2,FALSE)=0,"",VLOOKUP(T114,'Footnotes list'!$D$9:$E$58,2,FALSE) ) )</f>
        <v/>
      </c>
      <c r="V114" s="131">
        <f t="shared" ref="V114:V115" si="21">SUM(V9,V12,V15,V18,V21,V24,V27,V30,V33,V36,V39,V42,V45,V48,V51,V54,V57,V60,V63,V66,V69,V72,V75,V78,V81,V84,V87,V96,V105)</f>
        <v>0</v>
      </c>
      <c r="W114" s="379"/>
      <c r="X114" s="380"/>
      <c r="Y114" s="381"/>
      <c r="Z114" s="377" t="str">
        <f>IF(TRIM(Y114)="", "", IF(VLOOKUP(Y114,'Footnotes list'!$D$9:$E$58,2,FALSE)=0,"",VLOOKUP(Y114,'Footnotes list'!$D$9:$E$58,2,FALSE) ) )</f>
        <v/>
      </c>
      <c r="AA114" s="129">
        <f t="shared" ref="AA114:AA115" si="22">SUM(AA9,AA12,AA15,AA18,AA21,AA24,AA27,AA30,AA33,AA36,AA39,AA42,AA45,AA48,AA51,AA54,AA57,AA60,AA63,AA66,AA69,AA72,AA75,AA78,AA81,AA84,AA87,AA96,AA105)</f>
        <v>0</v>
      </c>
      <c r="AB114" s="379"/>
      <c r="AC114" s="380"/>
      <c r="AD114" s="381"/>
      <c r="AE114" s="377" t="str">
        <f>IF(TRIM(AD114)="", "", IF(VLOOKUP(AD114,'Footnotes list'!$D$9:$E$58,2,FALSE)=0,"",VLOOKUP(AD114,'Footnotes list'!$D$9:$E$58,2,FALSE) ) )</f>
        <v/>
      </c>
      <c r="AF114" s="131">
        <f t="shared" ref="AF114:AF115" si="23">SUM(AF9,AF12,AF15,AF18,AF21,AF24,AF27,AF30,AF33,AF36,AF39,AF42,AF45,AF48,AF51,AF54,AF57,AF60,AF63,AF66,AF69,AF72,AF75,AF78,AF81,AF84,AF87,AF96,AF105)</f>
        <v>0</v>
      </c>
      <c r="AG114" s="379"/>
      <c r="AH114" s="380"/>
      <c r="AI114" s="381"/>
      <c r="AJ114" s="377" t="str">
        <f>IF(TRIM(AI114)="", "", IF(VLOOKUP(AI114,'Footnotes list'!$D$9:$E$58,2,FALSE)=0,"",VLOOKUP(AI114,'Footnotes list'!$D$9:$E$58,2,FALSE) ) )</f>
        <v/>
      </c>
      <c r="AK114" s="131">
        <f t="shared" ref="AK114:AK115" si="24">SUM(AK9,AK12,AK15,AK18,AK21,AK24,AK27,AK30,AK33,AK36,AK39,AK42,AK45,AK48,AK51,AK54,AK57,AK60,AK63,AK66,AK69,AK72,AK75,AK78,AK81,AK84,AK87,AK96,AK105)</f>
        <v>0</v>
      </c>
      <c r="AL114" s="379"/>
      <c r="AM114" s="380"/>
      <c r="AN114" s="381"/>
      <c r="AO114" s="377" t="str">
        <f>IF(TRIM(AN114)="", "", IF(VLOOKUP(AN114,'Footnotes list'!$D$9:$E$58,2,FALSE)=0,"",VLOOKUP(AN114,'Footnotes list'!$D$9:$E$58,2,FALSE) ) )</f>
        <v/>
      </c>
      <c r="AP114" s="131">
        <f t="shared" ref="AP114:AP115" si="25">SUM(AP9,AP12,AP15,AP18,AP21,AP24,AP27,AP30,AP33,AP36,AP39,AP42,AP45,AP48,AP51,AP54,AP57,AP60,AP63,AP66,AP69,AP72,AP75,AP78,AP81,AP84,AP87,AP96,AP105)</f>
        <v>0</v>
      </c>
      <c r="AQ114" s="379"/>
      <c r="AR114" s="380"/>
      <c r="AS114" s="381"/>
      <c r="AT114" s="377" t="str">
        <f>IF(TRIM(AS114)="", "", IF(VLOOKUP(AS114,'Footnotes list'!$D$9:$E$58,2,FALSE)=0,"",VLOOKUP(AS114,'Footnotes list'!$D$9:$E$58,2,FALSE) ) )</f>
        <v/>
      </c>
      <c r="AU114" s="131">
        <f t="shared" ref="AU114:AU115" si="26">SUM(AU9,AU12,AU15,AU18,AU21,AU24,AU27,AU30,AU33,AU36,AU39,AU42,AU45,AU48,AU51,AU54,AU57,AU60,AU63,AU66,AU69,AU72,AU75,AU78,AU81,AU84,AU87,AU96,AU105)</f>
        <v>0</v>
      </c>
      <c r="AV114" s="379"/>
      <c r="AW114" s="380"/>
      <c r="AX114" s="381"/>
      <c r="AY114" s="377" t="str">
        <f>IF(TRIM(AX114)="", "", IF(VLOOKUP(AX114,'Footnotes list'!$D$9:$E$58,2,FALSE)=0,"",VLOOKUP(AX114,'Footnotes list'!$D$9:$E$58,2,FALSE) ) )</f>
        <v/>
      </c>
    </row>
    <row r="115" spans="2:51" ht="15" customHeight="1" thickBot="1" x14ac:dyDescent="0.4">
      <c r="B115" s="536"/>
      <c r="C115" s="79" t="s">
        <v>429</v>
      </c>
      <c r="D115" s="530"/>
      <c r="E115" s="47" t="s">
        <v>146</v>
      </c>
      <c r="F115" s="54" t="s">
        <v>234</v>
      </c>
      <c r="G115" s="127">
        <f t="shared" si="18"/>
        <v>0</v>
      </c>
      <c r="H115" s="379"/>
      <c r="I115" s="380"/>
      <c r="J115" s="381"/>
      <c r="K115" s="377" t="str">
        <f>IF(TRIM(J115)="", "", IF(VLOOKUP(J115,'Footnotes list'!$D$9:$E$58,2,FALSE)=0,"",VLOOKUP(J115,'Footnotes list'!$D$9:$E$58,2,FALSE) ) )</f>
        <v/>
      </c>
      <c r="L115" s="132">
        <f t="shared" si="19"/>
        <v>0</v>
      </c>
      <c r="M115" s="379"/>
      <c r="N115" s="380"/>
      <c r="O115" s="381"/>
      <c r="P115" s="377" t="str">
        <f>IF(TRIM(O115)="", "", IF(VLOOKUP(O115,'Footnotes list'!$D$9:$E$58,2,FALSE)=0,"",VLOOKUP(O115,'Footnotes list'!$D$9:$E$58,2,FALSE) ) )</f>
        <v/>
      </c>
      <c r="Q115" s="132">
        <f t="shared" si="20"/>
        <v>0</v>
      </c>
      <c r="R115" s="379"/>
      <c r="S115" s="380"/>
      <c r="T115" s="381"/>
      <c r="U115" s="377" t="str">
        <f>IF(TRIM(T115)="", "", IF(VLOOKUP(T115,'Footnotes list'!$D$9:$E$58,2,FALSE)=0,"",VLOOKUP(T115,'Footnotes list'!$D$9:$E$58,2,FALSE) ) )</f>
        <v/>
      </c>
      <c r="V115" s="132">
        <f t="shared" si="21"/>
        <v>0</v>
      </c>
      <c r="W115" s="379"/>
      <c r="X115" s="380"/>
      <c r="Y115" s="381"/>
      <c r="Z115" s="377" t="str">
        <f>IF(TRIM(Y115)="", "", IF(VLOOKUP(Y115,'Footnotes list'!$D$9:$E$58,2,FALSE)=0,"",VLOOKUP(Y115,'Footnotes list'!$D$9:$E$58,2,FALSE) ) )</f>
        <v/>
      </c>
      <c r="AA115" s="127">
        <f t="shared" si="22"/>
        <v>0</v>
      </c>
      <c r="AB115" s="379"/>
      <c r="AC115" s="380"/>
      <c r="AD115" s="381"/>
      <c r="AE115" s="377" t="str">
        <f>IF(TRIM(AD115)="", "", IF(VLOOKUP(AD115,'Footnotes list'!$D$9:$E$58,2,FALSE)=0,"",VLOOKUP(AD115,'Footnotes list'!$D$9:$E$58,2,FALSE) ) )</f>
        <v/>
      </c>
      <c r="AF115" s="132">
        <f t="shared" si="23"/>
        <v>0</v>
      </c>
      <c r="AG115" s="379"/>
      <c r="AH115" s="380"/>
      <c r="AI115" s="381"/>
      <c r="AJ115" s="377" t="str">
        <f>IF(TRIM(AI115)="", "", IF(VLOOKUP(AI115,'Footnotes list'!$D$9:$E$58,2,FALSE)=0,"",VLOOKUP(AI115,'Footnotes list'!$D$9:$E$58,2,FALSE) ) )</f>
        <v/>
      </c>
      <c r="AK115" s="132">
        <f t="shared" si="24"/>
        <v>0</v>
      </c>
      <c r="AL115" s="379"/>
      <c r="AM115" s="380"/>
      <c r="AN115" s="381"/>
      <c r="AO115" s="377" t="str">
        <f>IF(TRIM(AN115)="", "", IF(VLOOKUP(AN115,'Footnotes list'!$D$9:$E$58,2,FALSE)=0,"",VLOOKUP(AN115,'Footnotes list'!$D$9:$E$58,2,FALSE) ) )</f>
        <v/>
      </c>
      <c r="AP115" s="132">
        <f t="shared" si="25"/>
        <v>0</v>
      </c>
      <c r="AQ115" s="379"/>
      <c r="AR115" s="380"/>
      <c r="AS115" s="381"/>
      <c r="AT115" s="377" t="str">
        <f>IF(TRIM(AS115)="", "", IF(VLOOKUP(AS115,'Footnotes list'!$D$9:$E$58,2,FALSE)=0,"",VLOOKUP(AS115,'Footnotes list'!$D$9:$E$58,2,FALSE) ) )</f>
        <v/>
      </c>
      <c r="AU115" s="127">
        <f t="shared" si="26"/>
        <v>0</v>
      </c>
      <c r="AV115" s="379"/>
      <c r="AW115" s="380"/>
      <c r="AX115" s="381"/>
      <c r="AY115" s="377" t="str">
        <f>IF(TRIM(AX115)="", "", IF(VLOOKUP(AX115,'Footnotes list'!$D$9:$E$58,2,FALSE)=0,"",VLOOKUP(AX115,'Footnotes list'!$D$9:$E$58,2,FALSE) ) )</f>
        <v/>
      </c>
    </row>
    <row r="116" spans="2:51" ht="15" customHeight="1" x14ac:dyDescent="0.35">
      <c r="B116" s="534" t="s">
        <v>143</v>
      </c>
      <c r="C116" s="41" t="s">
        <v>143</v>
      </c>
      <c r="D116" s="528" t="s">
        <v>105</v>
      </c>
      <c r="E116" s="42" t="s">
        <v>144</v>
      </c>
      <c r="F116" s="43" t="s">
        <v>151</v>
      </c>
      <c r="G116" s="130">
        <f>SUM(G8,G11,G14,G17,G20,G23,G26,G29,G32,G35,G38,G41,G44,G47,G50,G53,G56,G59,G62,G65,G68,G71,G74,G77,G80,G83,G86,G89,G92,G95,G98,G101,G104)</f>
        <v>0</v>
      </c>
      <c r="H116" s="373"/>
      <c r="I116" s="374"/>
      <c r="J116" s="375"/>
      <c r="K116" s="376" t="str">
        <f>IF(TRIM(J116)="", "", IF(VLOOKUP(J116,'Footnotes list'!$D$9:$E$58,2,FALSE)=0,"",VLOOKUP(J116,'Footnotes list'!$D$9:$E$58,2,FALSE) ) )</f>
        <v/>
      </c>
      <c r="L116" s="130">
        <f>SUM(L8,L11,L14,L17,L20,L23,L26,L29,L32,L35,L38,L41,L44,L47,L50,L53,L56,L59,L62,L65,L68,L71,L74,L77,L80,L83,L86,L89,L92,L95,L98,L101,L104)</f>
        <v>0</v>
      </c>
      <c r="M116" s="373"/>
      <c r="N116" s="374"/>
      <c r="O116" s="375"/>
      <c r="P116" s="376" t="str">
        <f>IF(TRIM(O116)="", "", IF(VLOOKUP(O116,'Footnotes list'!$D$9:$E$58,2,FALSE)=0,"",VLOOKUP(O116,'Footnotes list'!$D$9:$E$58,2,FALSE) ) )</f>
        <v/>
      </c>
      <c r="Q116" s="130">
        <f>SUM(Q8,Q11,Q14,Q17,Q20,Q23,Q26,Q29,Q32,Q35,Q38,Q41,Q44,Q47,Q50,Q53,Q56,Q59,Q62,Q65,Q68,Q71,Q74,Q77,Q80,Q83,Q86,Q89,Q92,Q95,Q98,Q101,Q104)</f>
        <v>0</v>
      </c>
      <c r="R116" s="373"/>
      <c r="S116" s="374"/>
      <c r="T116" s="375"/>
      <c r="U116" s="376" t="str">
        <f>IF(TRIM(T116)="", "", IF(VLOOKUP(T116,'Footnotes list'!$D$9:$E$58,2,FALSE)=0,"",VLOOKUP(T116,'Footnotes list'!$D$9:$E$58,2,FALSE) ) )</f>
        <v/>
      </c>
      <c r="V116" s="130">
        <f>SUM(V8,V11,V14,V17,V20,V23,V26,V29,V32,V35,V38,V41,V44,V47,V50,V53,V56,V59,V62,V65,V68,V71,V74,V77,V80,V83,V86,V89,V92,V95,V98,V101,V104)</f>
        <v>0</v>
      </c>
      <c r="W116" s="373"/>
      <c r="X116" s="374"/>
      <c r="Y116" s="375"/>
      <c r="Z116" s="376" t="str">
        <f>IF(TRIM(Y116)="", "", IF(VLOOKUP(Y116,'Footnotes list'!$D$9:$E$58,2,FALSE)=0,"",VLOOKUP(Y116,'Footnotes list'!$D$9:$E$58,2,FALSE) ) )</f>
        <v/>
      </c>
      <c r="AA116" s="130">
        <f>SUM(AA8,AA11,AA14,AA17,AA20,AA23,AA26,AA29,AA32,AA35,AA38,AA41,AA44,AA47,AA50,AA53,AA56,AA59,AA62,AA65,AA68,AA71,AA74,AA77,AA80,AA83,AA86,AA89,AA92,AA95,AA98,AA101,AA104)</f>
        <v>0</v>
      </c>
      <c r="AB116" s="373"/>
      <c r="AC116" s="374"/>
      <c r="AD116" s="375"/>
      <c r="AE116" s="376" t="str">
        <f>IF(TRIM(AD116)="", "", IF(VLOOKUP(AD116,'Footnotes list'!$D$9:$E$58,2,FALSE)=0,"",VLOOKUP(AD116,'Footnotes list'!$D$9:$E$58,2,FALSE) ) )</f>
        <v/>
      </c>
      <c r="AF116" s="130">
        <f>SUM(AF8,AF11,AF14,AF17,AF20,AF23,AF26,AF29,AF32,AF35,AF38,AF41,AF44,AF47,AF50,AF53,AF56,AF59,AF62,AF65,AF68,AF71,AF74,AF77,AF80,AF83,AF86,AF89,AF92,AF95,AF98,AF101,AF104)</f>
        <v>0</v>
      </c>
      <c r="AG116" s="373"/>
      <c r="AH116" s="374"/>
      <c r="AI116" s="375"/>
      <c r="AJ116" s="376" t="str">
        <f>IF(TRIM(AI116)="", "", IF(VLOOKUP(AI116,'Footnotes list'!$D$9:$E$58,2,FALSE)=0,"",VLOOKUP(AI116,'Footnotes list'!$D$9:$E$58,2,FALSE) ) )</f>
        <v/>
      </c>
      <c r="AK116" s="130">
        <f>SUM(AK8,AK11,AK14,AK17,AK20,AK23,AK26,AK29,AK32,AK35,AK38,AK41,AK44,AK47,AK50,AK53,AK56,AK59,AK62,AK65,AK68,AK71,AK74,AK77,AK80,AK83,AK86,AK89,AK92,AK95,AK98,AK101,AK104)</f>
        <v>0</v>
      </c>
      <c r="AL116" s="373"/>
      <c r="AM116" s="374"/>
      <c r="AN116" s="375"/>
      <c r="AO116" s="376" t="str">
        <f>IF(TRIM(AN116)="", "", IF(VLOOKUP(AN116,'Footnotes list'!$D$9:$E$58,2,FALSE)=0,"",VLOOKUP(AN116,'Footnotes list'!$D$9:$E$58,2,FALSE) ) )</f>
        <v/>
      </c>
      <c r="AP116" s="130">
        <f>SUM(AP8,AP11,AP14,AP17,AP20,AP23,AP26,AP29,AP32,AP35,AP38,AP41,AP44,AP47,AP50,AP53,AP56,AP59,AP62,AP65,AP68,AP71,AP74,AP77,AP80,AP83,AP86,AP89,AP92,AP95,AP98,AP101,AP104)</f>
        <v>0</v>
      </c>
      <c r="AQ116" s="373"/>
      <c r="AR116" s="374"/>
      <c r="AS116" s="375"/>
      <c r="AT116" s="376" t="str">
        <f>IF(TRIM(AS116)="", "", IF(VLOOKUP(AS116,'Footnotes list'!$D$9:$E$58,2,FALSE)=0,"",VLOOKUP(AS116,'Footnotes list'!$D$9:$E$58,2,FALSE) ) )</f>
        <v/>
      </c>
      <c r="AU116" s="130">
        <f>SUM(AU8,AU11,AU14,AU17,AU20,AU23,AU26,AU29,AU32,AU35,AU38,AU41,AU44,AU47,AU50,AU53,AU56,AU59,AU62,AU65,AU68,AU71,AU74,AU77,AU80,AU83,AU86,AU89,AU92,AU95,AU98,AU101,AU104)</f>
        <v>0</v>
      </c>
      <c r="AV116" s="373"/>
      <c r="AW116" s="374"/>
      <c r="AX116" s="375"/>
      <c r="AY116" s="376" t="str">
        <f>IF(TRIM(AX116)="", "", IF(VLOOKUP(AX116,'Footnotes list'!$D$9:$E$58,2,FALSE)=0,"",VLOOKUP(AX116,'Footnotes list'!$D$9:$E$58,2,FALSE) ) )</f>
        <v/>
      </c>
    </row>
    <row r="117" spans="2:51" ht="15" customHeight="1" x14ac:dyDescent="0.35">
      <c r="B117" s="535"/>
      <c r="C117" s="50" t="s">
        <v>143</v>
      </c>
      <c r="D117" s="529"/>
      <c r="E117" s="51" t="s">
        <v>145</v>
      </c>
      <c r="F117" s="52" t="s">
        <v>152</v>
      </c>
      <c r="G117" s="131">
        <f t="shared" ref="G117:G118" si="27">SUM(G9,G12,G15,G18,G21,G24,G27,G30,G33,G36,G39,G42,G45,G48,G51,G54,G57,G60,G63,G66,G69,G72,G75,G78,G81,G84,G87,G90,G93,G96,G99,G102,G105)</f>
        <v>0</v>
      </c>
      <c r="H117" s="379"/>
      <c r="I117" s="380"/>
      <c r="J117" s="381"/>
      <c r="K117" s="377" t="str">
        <f>IF(TRIM(J117)="", "", IF(VLOOKUP(J117,'Footnotes list'!$D$9:$E$58,2,FALSE)=0,"",VLOOKUP(J117,'Footnotes list'!$D$9:$E$58,2,FALSE) ) )</f>
        <v/>
      </c>
      <c r="L117" s="131">
        <f t="shared" ref="L117:L118" si="28">SUM(L9,L12,L15,L18,L21,L24,L27,L30,L33,L36,L39,L42,L45,L48,L51,L54,L57,L60,L63,L66,L69,L72,L75,L78,L81,L84,L87,L90,L93,L96,L99,L102,L105)</f>
        <v>0</v>
      </c>
      <c r="M117" s="379"/>
      <c r="N117" s="380"/>
      <c r="O117" s="381"/>
      <c r="P117" s="377" t="str">
        <f>IF(TRIM(O117)="", "", IF(VLOOKUP(O117,'Footnotes list'!$D$9:$E$58,2,FALSE)=0,"",VLOOKUP(O117,'Footnotes list'!$D$9:$E$58,2,FALSE) ) )</f>
        <v/>
      </c>
      <c r="Q117" s="131">
        <f t="shared" ref="Q117:Q118" si="29">SUM(Q9,Q12,Q15,Q18,Q21,Q24,Q27,Q30,Q33,Q36,Q39,Q42,Q45,Q48,Q51,Q54,Q57,Q60,Q63,Q66,Q69,Q72,Q75,Q78,Q81,Q84,Q87,Q90,Q93,Q96,Q99,Q102,Q105)</f>
        <v>0</v>
      </c>
      <c r="R117" s="379"/>
      <c r="S117" s="380"/>
      <c r="T117" s="381"/>
      <c r="U117" s="377" t="str">
        <f>IF(TRIM(T117)="", "", IF(VLOOKUP(T117,'Footnotes list'!$D$9:$E$58,2,FALSE)=0,"",VLOOKUP(T117,'Footnotes list'!$D$9:$E$58,2,FALSE) ) )</f>
        <v/>
      </c>
      <c r="V117" s="131">
        <f t="shared" ref="V117:V118" si="30">SUM(V9,V12,V15,V18,V21,V24,V27,V30,V33,V36,V39,V42,V45,V48,V51,V54,V57,V60,V63,V66,V69,V72,V75,V78,V81,V84,V87,V90,V93,V96,V99,V102,V105)</f>
        <v>0</v>
      </c>
      <c r="W117" s="379"/>
      <c r="X117" s="380"/>
      <c r="Y117" s="381"/>
      <c r="Z117" s="377" t="str">
        <f>IF(TRIM(Y117)="", "", IF(VLOOKUP(Y117,'Footnotes list'!$D$9:$E$58,2,FALSE)=0,"",VLOOKUP(Y117,'Footnotes list'!$D$9:$E$58,2,FALSE) ) )</f>
        <v/>
      </c>
      <c r="AA117" s="129">
        <f t="shared" ref="AA117:AA118" si="31">SUM(AA9,AA12,AA15,AA18,AA21,AA24,AA27,AA30,AA33,AA36,AA39,AA42,AA45,AA48,AA51,AA54,AA57,AA60,AA63,AA66,AA69,AA72,AA75,AA78,AA81,AA84,AA87,AA90,AA93,AA96,AA99,AA102,AA105)</f>
        <v>0</v>
      </c>
      <c r="AB117" s="379"/>
      <c r="AC117" s="380"/>
      <c r="AD117" s="381"/>
      <c r="AE117" s="377" t="str">
        <f>IF(TRIM(AD117)="", "", IF(VLOOKUP(AD117,'Footnotes list'!$D$9:$E$58,2,FALSE)=0,"",VLOOKUP(AD117,'Footnotes list'!$D$9:$E$58,2,FALSE) ) )</f>
        <v/>
      </c>
      <c r="AF117" s="131">
        <f t="shared" ref="AF117:AF118" si="32">SUM(AF9,AF12,AF15,AF18,AF21,AF24,AF27,AF30,AF33,AF36,AF39,AF42,AF45,AF48,AF51,AF54,AF57,AF60,AF63,AF66,AF69,AF72,AF75,AF78,AF81,AF84,AF87,AF90,AF93,AF96,AF99,AF102,AF105)</f>
        <v>0</v>
      </c>
      <c r="AG117" s="379"/>
      <c r="AH117" s="380"/>
      <c r="AI117" s="381"/>
      <c r="AJ117" s="377" t="str">
        <f>IF(TRIM(AI117)="", "", IF(VLOOKUP(AI117,'Footnotes list'!$D$9:$E$58,2,FALSE)=0,"",VLOOKUP(AI117,'Footnotes list'!$D$9:$E$58,2,FALSE) ) )</f>
        <v/>
      </c>
      <c r="AK117" s="131">
        <f t="shared" ref="AK117:AK118" si="33">SUM(AK9,AK12,AK15,AK18,AK21,AK24,AK27,AK30,AK33,AK36,AK39,AK42,AK45,AK48,AK51,AK54,AK57,AK60,AK63,AK66,AK69,AK72,AK75,AK78,AK81,AK84,AK87,AK90,AK93,AK96,AK99,AK102,AK105)</f>
        <v>0</v>
      </c>
      <c r="AL117" s="379"/>
      <c r="AM117" s="380"/>
      <c r="AN117" s="381"/>
      <c r="AO117" s="377" t="str">
        <f>IF(TRIM(AN117)="", "", IF(VLOOKUP(AN117,'Footnotes list'!$D$9:$E$58,2,FALSE)=0,"",VLOOKUP(AN117,'Footnotes list'!$D$9:$E$58,2,FALSE) ) )</f>
        <v/>
      </c>
      <c r="AP117" s="131">
        <f t="shared" ref="AP117:AP118" si="34">SUM(AP9,AP12,AP15,AP18,AP21,AP24,AP27,AP30,AP33,AP36,AP39,AP42,AP45,AP48,AP51,AP54,AP57,AP60,AP63,AP66,AP69,AP72,AP75,AP78,AP81,AP84,AP87,AP90,AP93,AP96,AP99,AP102,AP105)</f>
        <v>0</v>
      </c>
      <c r="AQ117" s="379"/>
      <c r="AR117" s="380"/>
      <c r="AS117" s="381"/>
      <c r="AT117" s="377" t="str">
        <f>IF(TRIM(AS117)="", "", IF(VLOOKUP(AS117,'Footnotes list'!$D$9:$E$58,2,FALSE)=0,"",VLOOKUP(AS117,'Footnotes list'!$D$9:$E$58,2,FALSE) ) )</f>
        <v/>
      </c>
      <c r="AU117" s="131">
        <f t="shared" ref="AU117:AU118" si="35">SUM(AU9,AU12,AU15,AU18,AU21,AU24,AU27,AU30,AU33,AU36,AU39,AU42,AU45,AU48,AU51,AU54,AU57,AU60,AU63,AU66,AU69,AU72,AU75,AU78,AU81,AU84,AU87,AU90,AU93,AU96,AU99,AU102,AU105)</f>
        <v>0</v>
      </c>
      <c r="AV117" s="379"/>
      <c r="AW117" s="380"/>
      <c r="AX117" s="381"/>
      <c r="AY117" s="377" t="str">
        <f>IF(TRIM(AX117)="", "", IF(VLOOKUP(AX117,'Footnotes list'!$D$9:$E$58,2,FALSE)=0,"",VLOOKUP(AX117,'Footnotes list'!$D$9:$E$58,2,FALSE) ) )</f>
        <v/>
      </c>
    </row>
    <row r="118" spans="2:51" ht="15" customHeight="1" thickBot="1" x14ac:dyDescent="0.4">
      <c r="B118" s="536"/>
      <c r="C118" s="53" t="s">
        <v>143</v>
      </c>
      <c r="D118" s="530"/>
      <c r="E118" s="47" t="s">
        <v>146</v>
      </c>
      <c r="F118" s="54" t="s">
        <v>234</v>
      </c>
      <c r="G118" s="127">
        <f t="shared" si="27"/>
        <v>0</v>
      </c>
      <c r="H118" s="379"/>
      <c r="I118" s="380"/>
      <c r="J118" s="381"/>
      <c r="K118" s="377" t="str">
        <f>IF(TRIM(J118)="", "", IF(VLOOKUP(J118,'Footnotes list'!$D$9:$E$58,2,FALSE)=0,"",VLOOKUP(J118,'Footnotes list'!$D$9:$E$58,2,FALSE) ) )</f>
        <v/>
      </c>
      <c r="L118" s="132">
        <f t="shared" si="28"/>
        <v>0</v>
      </c>
      <c r="M118" s="379"/>
      <c r="N118" s="380"/>
      <c r="O118" s="381"/>
      <c r="P118" s="377" t="str">
        <f>IF(TRIM(O118)="", "", IF(VLOOKUP(O118,'Footnotes list'!$D$9:$E$58,2,FALSE)=0,"",VLOOKUP(O118,'Footnotes list'!$D$9:$E$58,2,FALSE) ) )</f>
        <v/>
      </c>
      <c r="Q118" s="132">
        <f t="shared" si="29"/>
        <v>0</v>
      </c>
      <c r="R118" s="379"/>
      <c r="S118" s="380"/>
      <c r="T118" s="381"/>
      <c r="U118" s="377" t="str">
        <f>IF(TRIM(T118)="", "", IF(VLOOKUP(T118,'Footnotes list'!$D$9:$E$58,2,FALSE)=0,"",VLOOKUP(T118,'Footnotes list'!$D$9:$E$58,2,FALSE) ) )</f>
        <v/>
      </c>
      <c r="V118" s="132">
        <f t="shared" si="30"/>
        <v>0</v>
      </c>
      <c r="W118" s="379"/>
      <c r="X118" s="380"/>
      <c r="Y118" s="381"/>
      <c r="Z118" s="377" t="str">
        <f>IF(TRIM(Y118)="", "", IF(VLOOKUP(Y118,'Footnotes list'!$D$9:$E$58,2,FALSE)=0,"",VLOOKUP(Y118,'Footnotes list'!$D$9:$E$58,2,FALSE) ) )</f>
        <v/>
      </c>
      <c r="AA118" s="127">
        <f t="shared" si="31"/>
        <v>0</v>
      </c>
      <c r="AB118" s="379"/>
      <c r="AC118" s="380"/>
      <c r="AD118" s="381"/>
      <c r="AE118" s="377" t="str">
        <f>IF(TRIM(AD118)="", "", IF(VLOOKUP(AD118,'Footnotes list'!$D$9:$E$58,2,FALSE)=0,"",VLOOKUP(AD118,'Footnotes list'!$D$9:$E$58,2,FALSE) ) )</f>
        <v/>
      </c>
      <c r="AF118" s="132">
        <f t="shared" si="32"/>
        <v>0</v>
      </c>
      <c r="AG118" s="379"/>
      <c r="AH118" s="380"/>
      <c r="AI118" s="381"/>
      <c r="AJ118" s="377" t="str">
        <f>IF(TRIM(AI118)="", "", IF(VLOOKUP(AI118,'Footnotes list'!$D$9:$E$58,2,FALSE)=0,"",VLOOKUP(AI118,'Footnotes list'!$D$9:$E$58,2,FALSE) ) )</f>
        <v/>
      </c>
      <c r="AK118" s="132">
        <f t="shared" si="33"/>
        <v>0</v>
      </c>
      <c r="AL118" s="379"/>
      <c r="AM118" s="380"/>
      <c r="AN118" s="381"/>
      <c r="AO118" s="377" t="str">
        <f>IF(TRIM(AN118)="", "", IF(VLOOKUP(AN118,'Footnotes list'!$D$9:$E$58,2,FALSE)=0,"",VLOOKUP(AN118,'Footnotes list'!$D$9:$E$58,2,FALSE) ) )</f>
        <v/>
      </c>
      <c r="AP118" s="132">
        <f t="shared" si="34"/>
        <v>0</v>
      </c>
      <c r="AQ118" s="379"/>
      <c r="AR118" s="380"/>
      <c r="AS118" s="381"/>
      <c r="AT118" s="377" t="str">
        <f>IF(TRIM(AS118)="", "", IF(VLOOKUP(AS118,'Footnotes list'!$D$9:$E$58,2,FALSE)=0,"",VLOOKUP(AS118,'Footnotes list'!$D$9:$E$58,2,FALSE) ) )</f>
        <v/>
      </c>
      <c r="AU118" s="127">
        <f t="shared" si="35"/>
        <v>0</v>
      </c>
      <c r="AV118" s="379"/>
      <c r="AW118" s="380"/>
      <c r="AX118" s="381"/>
      <c r="AY118" s="377" t="str">
        <f>IF(TRIM(AX118)="", "", IF(VLOOKUP(AX118,'Footnotes list'!$D$9:$E$58,2,FALSE)=0,"",VLOOKUP(AX118,'Footnotes list'!$D$9:$E$58,2,FALSE) ) )</f>
        <v/>
      </c>
    </row>
    <row r="120" spans="2:51" ht="15" customHeight="1" x14ac:dyDescent="0.35">
      <c r="B120" s="58" t="s">
        <v>242</v>
      </c>
      <c r="C120" s="59"/>
      <c r="D120" s="60"/>
      <c r="E120" s="60"/>
      <c r="G120" s="40"/>
      <c r="H120" s="40"/>
      <c r="I120" s="60"/>
      <c r="J120" s="61"/>
      <c r="W120" s="62"/>
      <c r="X120" s="62"/>
      <c r="Y120" s="62"/>
      <c r="Z120" s="62"/>
      <c r="AB120" s="62"/>
      <c r="AC120" s="62"/>
      <c r="AD120" s="62"/>
      <c r="AE120" s="62"/>
      <c r="AF120" s="62"/>
      <c r="AQ120" s="62"/>
      <c r="AR120" s="62"/>
      <c r="AS120" s="62"/>
      <c r="AT120" s="62"/>
    </row>
    <row r="121" spans="2:51" ht="6" customHeight="1" x14ac:dyDescent="0.35">
      <c r="B121" s="59"/>
      <c r="C121" s="59"/>
      <c r="D121" s="60"/>
      <c r="E121" s="60"/>
      <c r="G121" s="40"/>
      <c r="H121" s="40"/>
      <c r="I121" s="60"/>
      <c r="J121" s="61"/>
      <c r="W121" s="62"/>
      <c r="X121" s="62"/>
      <c r="Y121" s="62"/>
      <c r="Z121" s="62"/>
      <c r="AB121" s="62"/>
      <c r="AC121" s="62"/>
      <c r="AD121" s="62"/>
      <c r="AE121" s="62"/>
      <c r="AF121" s="62"/>
      <c r="AQ121" s="62"/>
      <c r="AR121" s="62"/>
      <c r="AS121" s="62"/>
      <c r="AT121" s="62"/>
    </row>
    <row r="122" spans="2:51" x14ac:dyDescent="0.35">
      <c r="B122" s="59" t="s">
        <v>243</v>
      </c>
      <c r="C122" s="59"/>
      <c r="D122" s="60"/>
      <c r="E122" s="60"/>
      <c r="G122" s="40"/>
      <c r="H122" s="40"/>
      <c r="I122" s="60"/>
      <c r="J122" s="61"/>
      <c r="W122" s="62"/>
      <c r="X122" s="62"/>
      <c r="Y122" s="62"/>
      <c r="Z122" s="62"/>
      <c r="AB122" s="62"/>
      <c r="AC122" s="62"/>
      <c r="AD122" s="62"/>
      <c r="AE122" s="62"/>
      <c r="AF122" s="62"/>
      <c r="AQ122" s="62"/>
      <c r="AR122" s="62"/>
      <c r="AS122" s="62"/>
      <c r="AT122" s="62"/>
    </row>
    <row r="123" spans="2:51" x14ac:dyDescent="0.35">
      <c r="B123" s="63" t="s">
        <v>244</v>
      </c>
      <c r="C123" s="83"/>
      <c r="D123" s="71"/>
      <c r="E123" s="64"/>
      <c r="G123" s="40"/>
      <c r="H123" s="40"/>
      <c r="I123" s="64"/>
      <c r="J123" s="64"/>
      <c r="W123" s="62"/>
      <c r="X123" s="62"/>
      <c r="Y123" s="62"/>
      <c r="Z123" s="62"/>
      <c r="AB123" s="62"/>
      <c r="AC123" s="62"/>
      <c r="AD123" s="62"/>
      <c r="AE123" s="62"/>
      <c r="AF123" s="62"/>
      <c r="AQ123" s="62"/>
      <c r="AR123" s="62"/>
      <c r="AS123" s="62"/>
      <c r="AT123" s="62"/>
    </row>
    <row r="124" spans="2:51" x14ac:dyDescent="0.35">
      <c r="B124" s="84" t="s">
        <v>293</v>
      </c>
      <c r="C124" s="85"/>
      <c r="D124" s="86"/>
      <c r="E124" s="65"/>
      <c r="G124" s="40"/>
      <c r="H124" s="40"/>
      <c r="I124" s="65"/>
      <c r="J124" s="65"/>
      <c r="W124" s="62"/>
      <c r="X124" s="62"/>
      <c r="Y124" s="62"/>
      <c r="Z124" s="62"/>
      <c r="AB124" s="62"/>
      <c r="AC124" s="62"/>
      <c r="AD124" s="62"/>
      <c r="AE124" s="62"/>
      <c r="AF124" s="62"/>
      <c r="AQ124" s="62"/>
      <c r="AR124" s="62"/>
      <c r="AS124" s="62"/>
      <c r="AT124" s="62"/>
    </row>
    <row r="125" spans="2:51" x14ac:dyDescent="0.35">
      <c r="B125" s="66" t="s">
        <v>245</v>
      </c>
      <c r="C125" s="66"/>
      <c r="D125" s="72"/>
      <c r="E125" s="64"/>
      <c r="G125" s="40"/>
      <c r="H125" s="40"/>
      <c r="I125" s="64"/>
      <c r="J125" s="64"/>
      <c r="W125" s="62"/>
      <c r="X125" s="62"/>
      <c r="Y125" s="62"/>
      <c r="Z125" s="62"/>
      <c r="AB125" s="62"/>
      <c r="AC125" s="62"/>
      <c r="AD125" s="62"/>
      <c r="AE125" s="62"/>
      <c r="AF125" s="62"/>
      <c r="AQ125" s="62"/>
      <c r="AR125" s="62"/>
      <c r="AS125" s="62"/>
      <c r="AT125" s="62"/>
    </row>
    <row r="126" spans="2:51" x14ac:dyDescent="0.35">
      <c r="B126" s="81" t="s">
        <v>246</v>
      </c>
      <c r="C126" s="74"/>
      <c r="D126" s="73"/>
      <c r="E126" s="64"/>
      <c r="G126" s="40"/>
      <c r="H126" s="40"/>
      <c r="I126" s="64"/>
      <c r="J126" s="64"/>
      <c r="W126" s="62"/>
      <c r="X126" s="62"/>
      <c r="Y126" s="62"/>
      <c r="Z126" s="62"/>
      <c r="AB126" s="62"/>
      <c r="AC126" s="62"/>
      <c r="AD126" s="62"/>
      <c r="AE126" s="62"/>
      <c r="AF126" s="62"/>
      <c r="AQ126" s="62"/>
      <c r="AR126" s="62"/>
      <c r="AS126" s="62"/>
      <c r="AT126" s="62"/>
    </row>
    <row r="127" spans="2:51" ht="6.75" customHeight="1" x14ac:dyDescent="0.35">
      <c r="B127" s="67"/>
      <c r="C127" s="67"/>
      <c r="D127" s="61"/>
      <c r="E127" s="61"/>
      <c r="G127" s="40"/>
      <c r="H127" s="40"/>
      <c r="I127" s="61"/>
      <c r="J127" s="61"/>
      <c r="W127" s="62"/>
      <c r="X127" s="62"/>
      <c r="Y127" s="62"/>
      <c r="Z127" s="62"/>
      <c r="AB127" s="62"/>
      <c r="AC127" s="62"/>
      <c r="AD127" s="62"/>
      <c r="AE127" s="62"/>
      <c r="AF127" s="62"/>
      <c r="AQ127" s="62"/>
      <c r="AR127" s="62"/>
      <c r="AS127" s="62"/>
      <c r="AT127" s="62"/>
    </row>
    <row r="128" spans="2:51" ht="6.75" customHeight="1" x14ac:dyDescent="0.35">
      <c r="B128" s="67"/>
      <c r="C128" s="67"/>
      <c r="D128" s="61"/>
      <c r="E128" s="61"/>
      <c r="G128" s="40"/>
      <c r="H128" s="40"/>
      <c r="I128" s="61"/>
      <c r="J128" s="61"/>
      <c r="W128" s="62"/>
      <c r="X128" s="62"/>
      <c r="Y128" s="62"/>
      <c r="Z128" s="62"/>
      <c r="AB128" s="62"/>
      <c r="AC128" s="62"/>
      <c r="AD128" s="62"/>
      <c r="AE128" s="62"/>
      <c r="AF128" s="62"/>
      <c r="AQ128" s="62"/>
      <c r="AR128" s="62"/>
      <c r="AS128" s="62"/>
      <c r="AT128" s="62"/>
    </row>
    <row r="129" spans="2:46" x14ac:dyDescent="0.35">
      <c r="B129" s="59" t="s">
        <v>247</v>
      </c>
      <c r="C129" s="68"/>
      <c r="D129" s="69"/>
      <c r="E129" s="69"/>
      <c r="G129" s="40"/>
      <c r="H129" s="40"/>
      <c r="I129" s="69"/>
      <c r="J129" s="69"/>
      <c r="W129" s="62"/>
      <c r="X129" s="62"/>
      <c r="Y129" s="62"/>
      <c r="Z129" s="62"/>
      <c r="AB129" s="62"/>
      <c r="AC129" s="62"/>
      <c r="AD129" s="62"/>
      <c r="AE129" s="62"/>
      <c r="AF129" s="62"/>
      <c r="AQ129" s="62"/>
      <c r="AR129" s="62"/>
      <c r="AS129" s="62"/>
      <c r="AT129" s="62"/>
    </row>
    <row r="130" spans="2:46" x14ac:dyDescent="0.35">
      <c r="B130" s="70" t="s">
        <v>249</v>
      </c>
      <c r="C130" s="70"/>
      <c r="D130" s="65"/>
      <c r="E130" s="65"/>
      <c r="G130" s="40"/>
      <c r="H130" s="40"/>
      <c r="I130" s="65"/>
      <c r="J130" s="65"/>
      <c r="W130" s="62"/>
      <c r="X130" s="62"/>
      <c r="Y130" s="62"/>
      <c r="Z130" s="62"/>
      <c r="AB130" s="62"/>
      <c r="AC130" s="62"/>
      <c r="AD130" s="62"/>
      <c r="AE130" s="62"/>
      <c r="AF130" s="62"/>
      <c r="AQ130" s="62"/>
      <c r="AR130" s="62"/>
      <c r="AS130" s="62"/>
      <c r="AT130" s="62"/>
    </row>
    <row r="131" spans="2:46" x14ac:dyDescent="0.35">
      <c r="B131" s="70" t="s">
        <v>248</v>
      </c>
      <c r="C131" s="70"/>
      <c r="D131" s="65"/>
      <c r="E131" s="65"/>
      <c r="G131" s="40"/>
      <c r="H131" s="40"/>
      <c r="I131" s="65"/>
      <c r="J131" s="65"/>
      <c r="W131" s="62"/>
      <c r="X131" s="62"/>
      <c r="Y131" s="62"/>
      <c r="Z131" s="62"/>
      <c r="AB131" s="62"/>
      <c r="AC131" s="62"/>
      <c r="AD131" s="62"/>
      <c r="AE131" s="62"/>
      <c r="AF131" s="62"/>
      <c r="AQ131" s="62"/>
      <c r="AR131" s="62"/>
      <c r="AS131" s="62"/>
      <c r="AT131" s="62"/>
    </row>
    <row r="132" spans="2:46" x14ac:dyDescent="0.35">
      <c r="B132" s="70" t="s">
        <v>250</v>
      </c>
      <c r="C132" s="70"/>
      <c r="D132" s="65"/>
      <c r="E132" s="65"/>
      <c r="G132" s="40"/>
      <c r="H132" s="40"/>
      <c r="I132" s="65"/>
      <c r="J132" s="65"/>
      <c r="W132" s="62"/>
      <c r="X132" s="62"/>
      <c r="Y132" s="62"/>
      <c r="Z132" s="62"/>
      <c r="AB132" s="62"/>
      <c r="AC132" s="62"/>
      <c r="AD132" s="62"/>
      <c r="AE132" s="62"/>
      <c r="AF132" s="62"/>
      <c r="AQ132" s="62"/>
      <c r="AR132" s="62"/>
      <c r="AS132" s="62"/>
      <c r="AT132" s="62"/>
    </row>
    <row r="133" spans="2:46" x14ac:dyDescent="0.35">
      <c r="B133" s="70"/>
      <c r="C133" s="70"/>
      <c r="D133" s="65"/>
      <c r="E133" s="65"/>
      <c r="G133" s="40"/>
      <c r="H133" s="40"/>
      <c r="I133" s="65"/>
      <c r="J133" s="65"/>
      <c r="W133" s="62"/>
      <c r="X133" s="62"/>
      <c r="Y133" s="62"/>
      <c r="Z133" s="62"/>
      <c r="AB133" s="62"/>
      <c r="AC133" s="62"/>
      <c r="AD133" s="62"/>
      <c r="AE133" s="62"/>
      <c r="AF133" s="62"/>
      <c r="AQ133" s="62"/>
      <c r="AR133" s="62"/>
      <c r="AS133" s="62"/>
      <c r="AT133" s="62"/>
    </row>
    <row r="134" spans="2:46" x14ac:dyDescent="0.35">
      <c r="B134" s="59" t="s">
        <v>251</v>
      </c>
    </row>
    <row r="135" spans="2:46" x14ac:dyDescent="0.35">
      <c r="B135" s="70" t="s">
        <v>253</v>
      </c>
    </row>
    <row r="136" spans="2:46" x14ac:dyDescent="0.35">
      <c r="B136" s="70" t="s">
        <v>252</v>
      </c>
    </row>
  </sheetData>
  <sheetProtection sheet="1" objects="1" scenarios="1"/>
  <mergeCells count="93">
    <mergeCell ref="B113:B115"/>
    <mergeCell ref="D113:D115"/>
    <mergeCell ref="B116:B118"/>
    <mergeCell ref="D116:D118"/>
    <mergeCell ref="B104:B106"/>
    <mergeCell ref="D104:D106"/>
    <mergeCell ref="B107:B109"/>
    <mergeCell ref="D107:D109"/>
    <mergeCell ref="B110:B112"/>
    <mergeCell ref="D110:D112"/>
    <mergeCell ref="B95:B97"/>
    <mergeCell ref="D95:D97"/>
    <mergeCell ref="B98:B100"/>
    <mergeCell ref="D98:D100"/>
    <mergeCell ref="B101:B103"/>
    <mergeCell ref="D101:D103"/>
    <mergeCell ref="B86:B88"/>
    <mergeCell ref="D86:D88"/>
    <mergeCell ref="B89:B91"/>
    <mergeCell ref="D89:D91"/>
    <mergeCell ref="B92:B94"/>
    <mergeCell ref="D92:D94"/>
    <mergeCell ref="B77:B79"/>
    <mergeCell ref="D77:D79"/>
    <mergeCell ref="B80:B82"/>
    <mergeCell ref="D80:D82"/>
    <mergeCell ref="B83:B85"/>
    <mergeCell ref="D83:D85"/>
    <mergeCell ref="B68:B70"/>
    <mergeCell ref="D68:D70"/>
    <mergeCell ref="B71:B73"/>
    <mergeCell ref="D71:D73"/>
    <mergeCell ref="B74:B76"/>
    <mergeCell ref="D74:D76"/>
    <mergeCell ref="B59:B61"/>
    <mergeCell ref="D59:D61"/>
    <mergeCell ref="B62:B64"/>
    <mergeCell ref="D62:D64"/>
    <mergeCell ref="B65:B67"/>
    <mergeCell ref="D65:D67"/>
    <mergeCell ref="B50:B52"/>
    <mergeCell ref="D50:D52"/>
    <mergeCell ref="B53:B55"/>
    <mergeCell ref="D53:D55"/>
    <mergeCell ref="B56:B58"/>
    <mergeCell ref="D56:D58"/>
    <mergeCell ref="B41:B43"/>
    <mergeCell ref="D41:D43"/>
    <mergeCell ref="B44:B46"/>
    <mergeCell ref="D44:D46"/>
    <mergeCell ref="B47:B49"/>
    <mergeCell ref="D47:D49"/>
    <mergeCell ref="B32:B34"/>
    <mergeCell ref="D32:D34"/>
    <mergeCell ref="B35:B37"/>
    <mergeCell ref="D35:D37"/>
    <mergeCell ref="B38:B40"/>
    <mergeCell ref="D38:D40"/>
    <mergeCell ref="B23:B25"/>
    <mergeCell ref="D23:D25"/>
    <mergeCell ref="B26:B28"/>
    <mergeCell ref="D26:D28"/>
    <mergeCell ref="B29:B31"/>
    <mergeCell ref="D29:D31"/>
    <mergeCell ref="B14:B16"/>
    <mergeCell ref="D14:D16"/>
    <mergeCell ref="B17:B19"/>
    <mergeCell ref="D17:D19"/>
    <mergeCell ref="B20:B22"/>
    <mergeCell ref="D20:D22"/>
    <mergeCell ref="AP5:AT5"/>
    <mergeCell ref="AU5:AY5"/>
    <mergeCell ref="B7:F7"/>
    <mergeCell ref="J7:K7"/>
    <mergeCell ref="O7:P7"/>
    <mergeCell ref="T7:U7"/>
    <mergeCell ref="Y7:Z7"/>
    <mergeCell ref="AD7:AE7"/>
    <mergeCell ref="AI7:AJ7"/>
    <mergeCell ref="G5:K5"/>
    <mergeCell ref="L5:P5"/>
    <mergeCell ref="Q5:U5"/>
    <mergeCell ref="V5:Z5"/>
    <mergeCell ref="AN7:AO7"/>
    <mergeCell ref="AS7:AT7"/>
    <mergeCell ref="AX7:AY7"/>
    <mergeCell ref="AA5:AE5"/>
    <mergeCell ref="AF5:AJ5"/>
    <mergeCell ref="B11:B13"/>
    <mergeCell ref="D11:D13"/>
    <mergeCell ref="AK5:AO5"/>
    <mergeCell ref="B8:B10"/>
    <mergeCell ref="D8:D10"/>
  </mergeCells>
  <dataValidations count="2">
    <dataValidation type="decimal" allowBlank="1" showInputMessage="1" showErrorMessage="1" error="Value must be a positive number smaller than 9999999" sqref="G8 L8 Q8 V8 AF8 AK8 AF11:AF12 AK11:AK12 G11:G12 L11:L12 Q11:Q12 AF98:AF99 AK98:AK99 G98:G99 L98:L99 Q98:Q99 V98:V99 V11:V12 G56 L56 Q56 V56 AF56 AK56 AF80:AF81 AK80:AK81 G80:G81 L80:L81 Q80:Q81 V80:V81 AF17:AF18 AK17:AK18 G17:G18 L17:L18 Q17:Q18 V17:V18 AF20:AF21 AK20:AK21 G20:G21 L20:L21 Q20:Q21 V20:V21 AF101:AF102 AK101:AK102 G101:G102 L101:L102 Q101:Q102 V101:V102 AF33 AK33 G33 L33 Q33 V33 AF36 AK36 G36 L36 Q36 V36 AF23:AF24 AK23:AK24 G23:G24 L23:L24 Q23:Q24 V23:V24 AF42 AK42 G42 L42 Q42 V42 AF45 AK45 G45 L45 Q45 V45 AF48 AK48 G48 L48 Q48 V48 AF26:AF27 AK26:AK27 G26:G27 L26:L27 Q26:Q27 V26:V27 AF54 AK54 G54 L54 Q54 V54 G14 L14 Q14 V14 AF14 AK14 AF38:AF39 AK38:AK39 G38:G39 L38:L39 Q38:Q39 V38:V39 AF50:AF51 AK50:AK51 G50:G51 L50:L51 Q50:Q51 V50:V51 AF59:AF60 AK59:AK60 G59:G60 L59:L60 Q59:Q60 V59:V60 AF69 AK69 G69 L69 Q69 V69 AF72 AK72 G72 L72 Q72 V72 AF75 AK75 G75 L75 Q75 V75 AF78 AK78 G78 L78 Q78 V78 AF62:AF63 AK62:AK63 G62:G63 L62:L63 Q62:Q63 V62:V63 AF104:AF105 AK104:AK105 G104:G105 L104:L105 Q104:Q105 V104:V105 AF87 AK87 G87 L87 Q87 V87 AF65:AF66 AK65:AK66 G65:G66 L65:L66 Q65:Q66 V65:V66 AF83:AF84 AK83:AK84 G83:G84 L83:L84 Q83:Q84 V83:V84 AF89:AF90 AK89:AK90 G89:G90 L89:L90 Q89:Q90 V89:V90 AF92:AF93 AK92:AK93 G92:G93 L92:L93 Q92:Q93 V92:V93 AF95:AF96 AK95:AK96 G95:G96 L95:L96 Q95:Q96 V95:V96 AF30 AK30 G30 L30 Q30 V30" xr:uid="{00000000-0002-0000-1700-000000000000}">
      <formula1>0</formula1>
      <formula2>9999999</formula2>
    </dataValidation>
    <dataValidation type="decimal" allowBlank="1" showInputMessage="1" showErrorMessage="1" error="Value must be a positive number" sqref="Q106:Q118 L106:L118 V106:V118 AK106:AK118 L9:L10 G9:G10 V9:V10 Q9:Q10 AK9:AK10 AF9:AF10 AF13 AK13 AK57:AK58 AF57:AF58 L85:L86 AK19 L19 G19 AF28:AF29 G28:G29 AK28:AK29 V28:V29 L28:L29 AF31:AF32 G31:G32 AK31:AK32 V31:V32 L31:L32 Q34:Q35 AF34:AF35 G34:G35 AK34:AK35 V34:V35 AF43:AF44 AK40:AK41 V40:V41 L40:L41 Q40:Q41 AF40:AF41 G43:G44 AK43:AK44 V43:V44 L43:L44 AF46:AF47 G46:G47 AK46:AK47 V46:V47 L46:L47 AF55 V52:V53 L52:L53 Q52:Q53 AF52:AF53 G52:G53 AK55 Q70:Q71 G15:G16 V15:V16 Q15:Q16 AK15:AK16 AF15:AF16 AK52:AK53 AF67:AF68 G67:G68 AK67:AK68 V67:V68 L67:L68 AF70:AF71 G70:G71 AK70:AK71 V70:V71 Q73:Q74 AF73:AF74 G73:G74 AK73:AK74 V73:V74 L76:L77 Q76:Q77 AF76:AF77 G76:G77 AK76:AK77 AF88 Q85:Q86 AF85:AF86 G85:G86 AK85:AK86 AK88 Q67:Q68 V85:V86 G91 V91 AK97 L97 L13 G13 V13 Q13 L57:L58 G57:G58 V57:V58 V19 AF22 AK22 L22 G22 V22 AK61 L61 G61 V61 AF100 G97 G94 V94 Q94 V97 Q97 AK100 L100 G100 V100 G106:G118 Q43:Q44 L70:L71 L49 AF106:AF118 L79 Q19 AF19 Q22 Q25 AF25 AK25 L25 G25 V25 Q28:Q29 G40:G41 Q61 AF61 Q64 AF64 AK64 L64 G64 V64 Q82 AF82 AK82 L82 G82 V82 Q91 AF91 AK91 L91 AF94 AK94 L94 AF97 Q100 Q103 AF103 AK103 L103 G103 V103 L88 G88 V88 Q88 G79 V79 Q79 AF79 AK79 V76:V77 L73:L74 L55 G55 V55 Q55 G49 V49 Q49 AF49 AK49 Q46:Q47 L37 G37 V37 Q37 AF37 AK37 L34:L35 Q31:Q32 L15:L16 AA8:AA118 AP8:AP118 AU8:AU118 Q57:Q58" xr:uid="{00000000-0002-0000-1700-000001000000}">
      <formula1>0</formula1>
      <formula2>4000000000</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1700-000002000000}">
          <x14:formula1>
            <xm:f>Lists!$D$2:$D$8</xm:f>
          </x14:formula1>
          <xm:sqref>H8 AL8 AG8 R8 M8 M54:M56 W8 AB8 AQ8 H54:H56 AB54:AB56 W54:W56 AL54:AL56 W33:W34 M33:M34 R54:R56 H33:H34 AB33:AB34 AG54:AG56 AQ54:AQ56 AL33:AL34 AL42:AL43 W42:W43 M42:M43 R33:R34 H42:H43 AB42:AB43 AG33:AG34 AB87:AB118 AL87:AL118 AG42:AG43 R42:R43 AG87:AG118 M87:M118 W87:W118 AB78:AB85 AQ33:AQ34 AQ42:AQ43 AL78:AL85 W78:W85 M78:M85 R87:R118 H87:H118 AB45:AB46 AG78:AG85 AG45:AG46 H78:H85 AL45:AL46 W45:W46 M45:M46 R78:R85 H45:H46 AB69:AB70 AG69:AG70 AQ87:AQ118 AQ78:AQ85 AL69:AL70 W69:W70 M69:M70 R45:R46 H69:H70 AB36:AB40 AG36:AG40 R69:R70 AG10:AG14 H36:H40 W36:W40 AQ45:AQ46 AL36:AL40 AQ69:AQ70 M36:M40 R36:R40 AQ36:AQ40 AL10:AL14 W10:W14 R10:R14 AB10:AB14 AG48:AG52 H10:H14 W48:W52 AQ10:AQ14 AL48:AL52 M10:M14 M48:M52 AB48:AB52 AG30:AG31 H48:H52 W30:W31 AQ48:AQ52 AL30:AL31 R48:R52 M30:M31 AQ30:AQ31 AQ72:AQ73 H30:H31 AL72:AL73 W72:W73 M72:M73 R30:R31 H72:H73 AB30:AB31 AG72:AG73 AQ75:AQ76 AL75:AL76 W75:W76 M75:M76 R72:R73 H75:H76 AB72:AB73 AG75:AG76 AQ16:AQ28 H16:H28 AG16:AG28 AB75:AB76 R75:R76 M16:M28 W16:W28 AL16:AL28 AB16:AB28 AL58:AL67 W58:W67 M58:M67 R16:R28 AB58:AB67 AG58:AG67 AQ58:AQ67 H58:H67 R58:R67 AV8 AV54:AV56 AV33:AV34 AV42:AV43 AV87:AV118 AV78:AV85 AV45:AV46 AV69:AV70 AV36:AV40 AV10:AV14 AV48:AV52 AV30:AV31 AV72:AV73 AV75:AV76 AV16:AV28 AV58:AV67</xm:sqref>
        </x14:dataValidation>
        <x14:dataValidation type="list" allowBlank="1" showInputMessage="1" showErrorMessage="1" xr:uid="{00000000-0002-0000-1700-000003000000}">
          <x14:formula1>
            <xm:f>Lists!$G$2:$G$3</xm:f>
          </x14:formula1>
          <xm:sqref>I8 AM8 AH8 S8 N8 N54:N56 X8 AC8 AR8 I54:I56 AC54:AC56 X54:X56 AM54:AM56 X33:X34 N33:N34 S54:S56 I33:I34 AC33:AC34 AH54:AH56 AR54:AR56 AM33:AM34 AM42:AM43 X42:X43 N42:N43 S33:S34 I42:I43 AC42:AC43 AH33:AH34 AC87:AC118 AM87:AM118 AH42:AH43 S42:S43 AH87:AH118 N87:N118 X87:X118 AC78:AC85 AR33:AR34 AR42:AR43 AM78:AM85 X78:X85 N78:N85 S87:S118 I87:I118 AC45:AC46 AH78:AH85 AH45:AH46 I78:I85 AM45:AM46 X45:X46 N45:N46 S78:S85 I45:I46 AC69:AC70 AH69:AH70 AR87:AR118 AR78:AR85 AM69:AM70 X69:X70 N69:N70 S45:S46 I69:I70 AC36:AC40 AH36:AH40 S69:S70 AH10:AH14 I36:I40 X36:X40 AR45:AR46 AM36:AM40 AR69:AR70 N36:N40 S36:S40 AR36:AR40 AM10:AM14 X10:X14 S10:S14 AC10:AC14 AH48:AH52 I10:I14 X48:X52 AR10:AR14 AM48:AM52 N10:N14 N48:N52 AC48:AC52 AH30:AH31 I48:I52 X30:X31 AR48:AR52 AM30:AM31 S48:S52 N30:N31 AR30:AR31 AR72:AR73 I30:I31 AM72:AM73 X72:X73 N72:N73 S30:S31 I72:I73 AC30:AC31 AH72:AH73 AR75:AR76 AM75:AM76 X75:X76 N75:N76 S72:S73 I75:I76 AC72:AC73 AH75:AH76 AR16:AR28 I16:I28 AH16:AH28 AC75:AC76 S75:S76 N16:N28 X16:X28 AM16:AM28 AC16:AC28 AM58:AM67 X58:X67 N58:N67 S16:S28 AC58:AC67 AH58:AH67 AR58:AR67 I58:I67 S58:S67 AW8 AW54:AW56 AW33:AW34 AW42:AW43 AW87:AW118 AW78:AW85 AW45:AW46 AW69:AW70 AW36:AW40 AW10:AW14 AW48:AW52 AW30:AW31 AW72:AW73 AW75:AW76 AW16:AW28 AW58:AW67</xm:sqref>
        </x14:dataValidation>
        <x14:dataValidation type="list" allowBlank="1" showInputMessage="1" showErrorMessage="1" xr:uid="{00000000-0002-0000-1700-000004000000}">
          <x14:formula1>
            <xm:f>'Footnotes list'!$D$9:$D$58</xm:f>
          </x14:formula1>
          <xm:sqref>J8 AN8 AI8 T8 O8 O54:O56 Y8 AD8 AS8 J54:J56 AD54:AD56 Y54:Y56 AN54:AN56 Y33:Y34 O33:O34 T54:T56 J33:J34 AD33:AD34 AI54:AI56 AS54:AS56 AN33:AN34 AN42:AN43 Y42:Y43 O42:O43 T33:T34 J42:J43 AD42:AD43 AI33:AI34 AD87:AD118 AN87:AN118 AI42:AI43 T42:T43 AI87:AI118 O87:O118 Y87:Y118 AD78:AD85 AS33:AS34 AS42:AS43 AN78:AN85 Y78:Y85 O78:O85 T87:T118 J87:J118 AD45:AD46 AI78:AI85 AI45:AI46 J78:J85 AN45:AN46 Y45:Y46 O45:O46 T78:T85 J45:J46 AD69:AD70 AI69:AI70 AS87:AS118 AS78:AS85 AN69:AN70 Y69:Y70 O69:O70 T45:T46 J69:J70 AD36:AD40 AI36:AI40 T69:T70 AI10:AI14 J36:J40 Y36:Y40 AS45:AS46 AN36:AN40 AS69:AS70 O36:O40 T36:T40 AS36:AS40 AN10:AN14 Y10:Y14 T10:T14 AD10:AD14 AI48:AI52 J10:J14 Y48:Y52 AS10:AS14 AN48:AN52 O10:O14 O48:O52 AD48:AD52 AI30:AI31 J48:J52 Y30:Y31 AS48:AS52 AN30:AN31 T48:T52 O30:O31 AS30:AS31 AS72:AS73 J30:J31 AN72:AN73 Y72:Y73 O72:O73 T30:T31 J72:J73 AD30:AD31 AI72:AI73 AS75:AS76 AN75:AN76 Y75:Y76 O75:O76 T72:T73 J75:J76 AD72:AD73 AI75:AI76 AS16:AS28 J16:J28 AI16:AI28 AD75:AD76 T75:T76 O16:O28 Y16:Y28 AN16:AN28 AD16:AD28 AN58:AN67 Y58:Y67 O58:O67 T16:T28 AD58:AD67 AI58:AI67 AS58:AS67 J58:J67 T58:T67 AX8 AX54:AX56 AX33:AX34 AX42:AX43 AX87:AX118 AX78:AX85 AX45:AX46 AX69:AX70 AX36:AX40 AX10:AX14 AX48:AX52 AX30:AX31 AX72:AX73 AX75:AX76 AX16:AX28 AX58:AX67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COVER</vt:lpstr>
      <vt:lpstr>INDEX</vt:lpstr>
      <vt:lpstr>Basic Instructions</vt:lpstr>
      <vt:lpstr>Methodology</vt:lpstr>
      <vt:lpstr>Validation rules</vt:lpstr>
      <vt:lpstr>GETTING STARTED</vt:lpstr>
      <vt:lpstr>Footnotes list</vt:lpstr>
      <vt:lpstr>Table_1</vt:lpstr>
      <vt:lpstr>ErrorLog</vt:lpstr>
      <vt:lpstr>Table_1 (COPY-PASTING)</vt:lpstr>
      <vt:lpstr>StandardFootnotes</vt:lpstr>
      <vt:lpstr>Lists</vt:lpstr>
      <vt:lpstr>Changelog</vt:lpstr>
      <vt:lpstr>Pre-filling parameters</vt:lpstr>
      <vt:lpstr>MacroBehaviour</vt:lpstr>
      <vt:lpstr>Locks</vt:lpstr>
      <vt:lpstr>Summations</vt:lpstr>
      <vt:lpstr>Mandatory</vt:lpstr>
      <vt:lpstr>x IsFormula</vt:lpstr>
      <vt:lpstr>MustNotBeNegative</vt:lpstr>
      <vt:lpstr>ForbiddenStrings</vt:lpstr>
      <vt:lpstr>FootnoteContent</vt:lpstr>
      <vt:lpstr>IsNumeric</vt:lpstr>
      <vt:lpstr>Table_1 (COPY)</vt:lpstr>
    </vt:vector>
  </TitlesOfParts>
  <Company>ITICS - Sogeti Luxembourg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Sébastien Preponiot</dc:creator>
  <cp:lastModifiedBy>SULIK Joanna (ESTAT)</cp:lastModifiedBy>
  <cp:lastPrinted>2022-06-03T10:13:00Z</cp:lastPrinted>
  <dcterms:created xsi:type="dcterms:W3CDTF">2020-02-06T15:44:47Z</dcterms:created>
  <dcterms:modified xsi:type="dcterms:W3CDTF">2026-05-22T05:16:57Z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d9ddd1-4d20-43f6-abfa-fc3c07406f94_Enabled">
    <vt:lpwstr>true</vt:lpwstr>
  </property>
  <property fmtid="{D5CDD505-2E9C-101B-9397-08002B2CF9AE}" pid="3" name="MSIP_Label_6bd9ddd1-4d20-43f6-abfa-fc3c07406f94_SetDate">
    <vt:lpwstr>2024-03-12T15:56:47Z</vt:lpwstr>
  </property>
  <property fmtid="{D5CDD505-2E9C-101B-9397-08002B2CF9AE}" pid="4" name="MSIP_Label_6bd9ddd1-4d20-43f6-abfa-fc3c07406f94_Method">
    <vt:lpwstr>Standard</vt:lpwstr>
  </property>
  <property fmtid="{D5CDD505-2E9C-101B-9397-08002B2CF9AE}" pid="5" name="MSIP_Label_6bd9ddd1-4d20-43f6-abfa-fc3c07406f94_Name">
    <vt:lpwstr>Commission Use</vt:lpwstr>
  </property>
  <property fmtid="{D5CDD505-2E9C-101B-9397-08002B2CF9AE}" pid="6" name="MSIP_Label_6bd9ddd1-4d20-43f6-abfa-fc3c07406f94_SiteId">
    <vt:lpwstr>b24c8b06-522c-46fe-9080-70926f8dddb1</vt:lpwstr>
  </property>
  <property fmtid="{D5CDD505-2E9C-101B-9397-08002B2CF9AE}" pid="7" name="MSIP_Label_6bd9ddd1-4d20-43f6-abfa-fc3c07406f94_ActionId">
    <vt:lpwstr>d2cd0663-e04c-4626-ae2c-3df1ec934098</vt:lpwstr>
  </property>
  <property fmtid="{D5CDD505-2E9C-101B-9397-08002B2CF9AE}" pid="8" name="MSIP_Label_6bd9ddd1-4d20-43f6-abfa-fc3c07406f94_ContentBits">
    <vt:lpwstr>0</vt:lpwstr>
  </property>
</Properties>
</file>